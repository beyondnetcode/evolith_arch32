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156778539945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ES_Guia" sheetId="1" r:id="R8a01d329e384458e"/>
    <x:sheet xmlns:r="http://schemas.openxmlformats.org/officeDocument/2006/relationships" name="01_ES_Scorecard" sheetId="2" r:id="R39edcae202714c72"/>
    <x:sheet xmlns:r="http://schemas.openxmlformats.org/officeDocument/2006/relationships" name="02_ES_Fases" sheetId="3" r:id="R7b4ed86058b84e29"/>
    <x:sheet xmlns:r="http://schemas.openxmlformats.org/officeDocument/2006/relationships" name="03_ES_RACI_Nominal" sheetId="4" r:id="Rb592d74467d14764"/>
    <x:sheet xmlns:r="http://schemas.openxmlformats.org/officeDocument/2006/relationships" name="04_ES_Artefactos" sheetId="5" r:id="R3745f671bab94d2a"/>
    <x:sheet xmlns:r="http://schemas.openxmlformats.org/officeDocument/2006/relationships" name="05_ES_Gates_Calidad" sheetId="6" r:id="R36f8ccac472843f2"/>
    <x:sheet xmlns:r="http://schemas.openxmlformats.org/officeDocument/2006/relationships" name="06_ES_Riesgos_Decisiones" sheetId="7" r:id="R53f81fc6b34746cf"/>
    <x:sheet xmlns:r="http://schemas.openxmlformats.org/officeDocument/2006/relationships" name="07_ES_Seguimiento" sheetId="8" r:id="Rd0675737d3454f76"/>
    <x:sheet xmlns:r="http://schemas.openxmlformats.org/officeDocument/2006/relationships" name="EN_Guide" sheetId="9" r:id="R378aa15f06264477"/>
    <x:sheet xmlns:r="http://schemas.openxmlformats.org/officeDocument/2006/relationships" name="EN_Scorecard" sheetId="10" r:id="R0cfb553eb31249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6"/>
      <x:color rgb="FFFFFF"/>
      <x:name val="Carlito"/>
    </x:font>
    <x:font>
      <x:sz val="11"/>
      <x:color rgb="334155"/>
      <x:name val="Carlito"/>
    </x:font>
    <x:font>
      <x:b/>
      <x:sz val="11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F8FAFC"/>
      </x:patternFill>
    </x:fill>
    <x:fill>
      <x:patternFill patternType="solid">
        <x:fgColor rgb="1E3A8A"/>
      </x:patternFill>
    </x:fill>
    <x:fill>
      <x:patternFill patternType="solid">
        <x:fgColor rgb="0EA5E9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</x:cellXfs>
  <x:cellStyles count="1">
    <x:cellStyle name="Normal" xfId="0"/>
  </x:cellStyles>
  <x:dxfs count="24">
    <x:dxf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FEDD5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FEDD5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FEDD5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FEDD5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FEDD5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FEDD5"/>
        </x:patternFill>
      </x:fill>
    </x:dxf>
    <x:dxf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b482cb749f4690" /><Relationship Type="http://schemas.openxmlformats.org/officeDocument/2006/relationships/theme" Target="/xl/theme/theme1.xml" Id="Ra478ee80e4524747" /><Relationship Type="http://schemas.openxmlformats.org/officeDocument/2006/relationships/sharedStrings" Target="/xl/sharedStrings.xml" Id="R370a28f5c7f94491" /><Relationship Type="http://schemas.openxmlformats.org/officeDocument/2006/relationships/worksheet" Target="/xl/worksheets/sheet1.xml" Id="R8a01d329e384458e" /><Relationship Type="http://schemas.openxmlformats.org/officeDocument/2006/relationships/worksheet" Target="/xl/worksheets/sheet2.xml" Id="R39edcae202714c72" /><Relationship Type="http://schemas.openxmlformats.org/officeDocument/2006/relationships/worksheet" Target="/xl/worksheets/sheet3.xml" Id="R7b4ed86058b84e29" /><Relationship Type="http://schemas.openxmlformats.org/officeDocument/2006/relationships/worksheet" Target="/xl/worksheets/sheet4.xml" Id="Rb592d74467d14764" /><Relationship Type="http://schemas.openxmlformats.org/officeDocument/2006/relationships/worksheet" Target="/xl/worksheets/sheet5.xml" Id="R3745f671bab94d2a" /><Relationship Type="http://schemas.openxmlformats.org/officeDocument/2006/relationships/worksheet" Target="/xl/worksheets/sheet6.xml" Id="R36f8ccac472843f2" /><Relationship Type="http://schemas.openxmlformats.org/officeDocument/2006/relationships/worksheet" Target="/xl/worksheets/sheet7.xml" Id="R53f81fc6b34746cf" /><Relationship Type="http://schemas.openxmlformats.org/officeDocument/2006/relationships/worksheet" Target="/xl/worksheets/sheet8.xml" Id="Rd0675737d3454f76" /><Relationship Type="http://schemas.openxmlformats.org/officeDocument/2006/relationships/worksheet" Target="/xl/worksheets/sheet9.xml" Id="R378aa15f06264477" /><Relationship Type="http://schemas.openxmlformats.org/officeDocument/2006/relationships/worksheet" Target="/xl/worksheets/sheet10.xml" Id="R0cfb553eb31249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8" hidden="0" customWidth="1"/>
    <x:col min="3" max="3" width="35" hidden="0" customWidth="1"/>
    <x:col min="4" max="4" width="35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5" t="str">
        <x:v>Workbook de Mesa de Trabajo SDLC Evolith</x:v>
      </x:c>
      <x:c r="B1" s="5"/>
      <x:c r="C1" s="5"/>
      <x:c r="D1" s="5"/>
      <x:c r="E1" s="5"/>
      <x:c r="F1" s="5"/>
      <x:c r="G1" s="5"/>
      <x:c r="H1" s="5"/>
    </x:row>
    <x:row r="2" ht="34" customHeight="1">
      <x:c r="A2" s="13" t="str">
        <x:v>Uso: definir adopción de fases, roles, artefactos, RACI nominal y seguimiento ejecutivo del Scorecard SDLC.</x:v>
      </x:c>
      <x:c r="B2" s="13"/>
      <x:c r="C2" s="13"/>
      <x:c r="D2" s="13"/>
      <x:c r="E2" s="13"/>
      <x:c r="F2" s="13"/>
      <x:c r="G2" s="13"/>
      <x:c r="H2" s="13"/>
    </x:row>
    <x:row r="4">
      <x:c r="A4" s="21" t="str">
        <x:v>Plan de mesa de trabajo</x:v>
      </x:c>
      <x:c r="B4" s="21"/>
      <x:c r="C4" s="21"/>
      <x:c r="D4" s="21"/>
      <x:c r="E4" s="21"/>
      <x:c r="F4" s="21"/>
      <x:c r="G4" s="21"/>
      <x:c r="H4" s="21"/>
    </x:row>
    <x:row r="5">
      <x:c r="A5" s="39" t="str">
        <x:v>Sesión</x:v>
      </x:c>
      <x:c r="B5" s="39" t="str">
        <x:v>Objetivo</x:v>
      </x:c>
      <x:c r="C5" s="39" t="str">
        <x:v>Participantes sugeridos</x:v>
      </x:c>
      <x:c r="D5" s="39" t="str">
        <x:v>Resultado esperado</x:v>
      </x:c>
    </x:row>
    <x:row r="6">
      <x:c r="A6" s="40" t="str">
        <x:v>1. Alineamiento ejecutivo</x:v>
      </x:c>
      <x:c r="B6" s="40" t="str">
        <x:v>Confirmar propósito, alcance, restricciones, riesgo aceptable y tipo de adopción Evolith.</x:v>
      </x:c>
      <x:c r="C6" s="40" t="str">
        <x:v>Sponsor, Director Tecnología, Producto, Arquitectura</x:v>
      </x:c>
      <x:c r="D6" s="40" t="str">
        <x:v>Objetivos de adopción y criterios de decisión.</x:v>
      </x:c>
    </x:row>
    <x:row r="7">
      <x:c r="A7" s="40" t="str">
        <x:v>2. Scoping de fases</x:v>
      </x:c>
      <x:c r="B7" s="40" t="str">
        <x:v>Definir qué fases aplican, cuáles se adaptan, se difieren o no aplican.</x:v>
      </x:c>
      <x:c r="C7" s="40" t="str">
        <x:v>Arquitectura, Engineering Manager, Producto, QA, SRE</x:v>
      </x:c>
      <x:c r="D7" s="40" t="str">
        <x:v>Matriz de aplicabilidad por fase.</x:v>
      </x:c>
    </x:row>
    <x:row r="8">
      <x:c r="A8" s="40" t="str">
        <x:v>3. Mapeo RACI nominal</x:v>
      </x:c>
      <x:c r="B8" s="40" t="str">
        <x:v>Asignar empleados reales a roles Evolith por fase y gate.</x:v>
      </x:c>
      <x:c r="C8" s="40" t="str">
        <x:v>Líderes funcionales y managers</x:v>
      </x:c>
      <x:c r="D8" s="40" t="str">
        <x:v>RACI nominal con brechas visibles.</x:v>
      </x:c>
    </x:row>
    <x:row r="9">
      <x:c r="A9" s="40" t="str">
        <x:v>4. Selección de artefactos</x:v>
      </x:c>
      <x:c r="B9" s="40" t="str">
        <x:v>Definir qué artefactos serán requeridos, opcionales o condicionales para el cliente.</x:v>
      </x:c>
      <x:c r="C9" s="40" t="str">
        <x:v>Arquitectura, QA, DevOps, Producto</x:v>
      </x:c>
      <x:c r="D9" s="40" t="str">
        <x:v>Registro de artefactos adoptados.</x:v>
      </x:c>
    </x:row>
    <x:row r="10">
      <x:c r="A10" s="40" t="str">
        <x:v>5. Seguimiento ejecutivo</x:v>
      </x:c>
      <x:c r="B10" s="40" t="str">
        <x:v>Configurar scorecard, cadencia, action log, riesgos y decisiones.</x:v>
      </x:c>
      <x:c r="C10" s="40" t="str">
        <x:v>Technology Director, Delivery Owner, QA Lead, SRE Lead</x:v>
      </x:c>
      <x:c r="D10" s="40" t="str">
        <x:v>Scorecard y modelo de seguimiento operativo.</x:v>
      </x:c>
    </x:row>
    <x:row r="12">
      <x:c r="A12" s="21" t="str">
        <x:v>Reglas de uso</x:v>
      </x:c>
      <x:c r="B12" s="21"/>
      <x:c r="C12" s="21"/>
      <x:c r="D12" s="21"/>
      <x:c r="E12" s="21"/>
      <x:c r="F12" s="21"/>
      <x:c r="G12" s="21"/>
      <x:c r="H12" s="21"/>
    </x:row>
    <x:row r="13">
      <x:c r="A13" s="40" t="str">
        <x:v>1</x:v>
      </x:c>
      <x:c r="B13" s="40" t="str">
        <x:v>No todas las empresas adoptan todas las fases o artefactos; registrar explícitamente Aplica / Adaptada / Diferida / N/A.</x:v>
      </x:c>
    </x:row>
    <x:row r="14">
      <x:c r="A14" s="40" t="str">
        <x:v>2</x:v>
      </x:c>
      <x:c r="B14" s="40" t="str">
        <x:v>Toda fase marcada como Aplica debe tener un Accountable nominal y evidencia mínima definida.</x:v>
      </x:c>
    </x:row>
    <x:row r="15">
      <x:c r="A15" s="40" t="str">
        <x:v>3</x:v>
      </x:c>
      <x:c r="B15" s="40" t="str">
        <x:v>El Scorecard resume la salud ejecutiva; la evidencia detallada vive en las hojas de fases, RACI, artefactos, gates y riesgos.</x:v>
      </x:c>
    </x:row>
    <x:row r="16">
      <x:c r="A16" s="40" t="str">
        <x:v>4</x:v>
      </x:c>
      <x:c r="B16" s="40" t="str">
        <x:v>Una iniciativa no debe avanzar si el gate activo está Bloqueado o si falta evidencia crítica.</x:v>
      </x:c>
    </x:row>
    <x:row r="17">
      <x:c r="A17" s="40" t="str">
        <x:v>5</x:v>
      </x:c>
      <x:c r="B17" s="40" t="str">
        <x:v>Actualizar el workbook antes de cada gate review y en cada comité de seguimiento.</x:v>
      </x:c>
    </x:row>
  </x:sheetData>
  <x:mergeCells>
    <x:mergeCell ref="A1:H1"/>
    <x:mergeCell ref="A2:H2"/>
    <x:mergeCell ref="A4:H4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8" customHeight="1">
      <x:c r="A1" s="5" t="str">
        <x:v>Scorecard Ejecutivo SDLC Evolith</x:v>
      </x:c>
      <x:c r="B1" s="5"/>
      <x:c r="C1" s="5"/>
      <x:c r="D1" s="5"/>
      <x:c r="E1" s="5"/>
      <x:c r="F1" s="5"/>
      <x:c r="G1" s="5"/>
      <x:c r="H1" s="5"/>
    </x:row>
    <x:row r="2" ht="34" customHeight="1">
      <x:c r="A2" s="13" t="str">
        <x:v>Panel único para líderes: fase activa, readiness, evidencia, RACI, calidad, riesgos y decisión ejecutiva.</x:v>
      </x:c>
      <x:c r="B2" s="13"/>
      <x:c r="C2" s="13"/>
      <x:c r="D2" s="13"/>
      <x:c r="E2" s="13"/>
      <x:c r="F2" s="13"/>
      <x:c r="G2" s="13"/>
      <x:c r="H2" s="13"/>
    </x:row>
    <x:row r="4">
      <x:c r="A4" s="21" t="str">
        <x:v>Identidad del release / iniciativa</x:v>
      </x:c>
      <x:c r="B4" s="21"/>
      <x:c r="C4" s="21"/>
      <x:c r="D4" s="21"/>
      <x:c r="E4" s="21"/>
      <x:c r="F4" s="21"/>
      <x:c r="G4" s="21"/>
      <x:c r="H4" s="21"/>
    </x:row>
    <x:row r="5">
      <x:c r="A5" s="39" t="str">
        <x:v>Campo</x:v>
      </x:c>
      <x:c r="B5" s="39" t="str">
        <x:v>Valor</x:v>
      </x:c>
      <x:c r="C5" s="39" t="str">
        <x:v>Campo</x:v>
      </x:c>
      <x:c r="D5" s="39" t="str">
        <x:v>Valor</x:v>
      </x:c>
      <x:c r="F5" s="21" t="str">
        <x:v>Resumen ejecutivo</x:v>
      </x:c>
      <x:c r="G5" s="21"/>
      <x:c r="H5" s="21"/>
    </x:row>
    <x:row r="6">
      <x:c r="A6" s="40" t="str">
        <x:v>Producto / Iniciativa</x:v>
      </x:c>
      <x:c r="B6" s="40" t="str">
        <x:v>[Nombre]</x:v>
      </x:c>
      <x:c r="C6" s="40" t="str">
        <x:v>Estado global</x:v>
      </x:c>
      <x:c r="D6" s="40" t="str">
        <x:v>[En Curso / Observación / En Riesgo / Bloqueado / Listo]</x:v>
      </x:c>
      <x:c r="F6" s="39" t="str">
        <x:v>Dimensión</x:v>
      </x:c>
      <x:c r="G6" s="39" t="str">
        <x:v>Score</x:v>
      </x:c>
      <x:c r="H6" s="39" t="str">
        <x:v>Estado</x:v>
      </x:c>
    </x:row>
    <x:row r="7">
      <x:c r="A7" s="40" t="str">
        <x:v>Release / Versión</x:v>
      </x:c>
      <x:c r="B7" s="40" t="str">
        <x:v>[vX.Y.Z]</x:v>
      </x:c>
      <x:c r="C7" s="40" t="str">
        <x:v>Readiness SDLC</x:v>
      </x:c>
      <x:c r="D7" s="40" t="n">
        <x:f>'02_ES_Fases'!H12</x:f>
        <x:v>0</x:v>
      </x:c>
      <x:c r="F7" s="40" t="str">
        <x:v>Fases</x:v>
      </x:c>
      <x:c r="G7" s="40" t="n">
        <x:f>'02_ES_Fases'!H12</x:f>
        <x:v>0</x:v>
      </x:c>
      <x:c r="H7" s="40" t="str">
        <x:f>'02_ES_Fases'!H13</x:f>
        <x:v>Pendiente</x:v>
      </x:c>
    </x:row>
    <x:row r="8">
      <x:c r="A8" s="40" t="str">
        <x:v>Cliente / Unidad</x:v>
      </x:c>
      <x:c r="B8" s="40" t="str">
        <x:v>[Nombre]</x:v>
      </x:c>
      <x:c r="C8" s="40" t="str">
        <x:v>Gate actual</x:v>
      </x:c>
      <x:c r="D8" s="40" t="str">
        <x:v>[Gate]</x:v>
      </x:c>
      <x:c r="F8" s="40" t="str">
        <x:v>Artefactos</x:v>
      </x:c>
      <x:c r="G8" s="40" t="n">
        <x:f>'04_ES_Artefactos'!H12</x:f>
        <x:v>0</x:v>
      </x:c>
      <x:c r="H8" s="40" t="str">
        <x:f>'04_ES_Artefactos'!H13</x:f>
        <x:v>Pendiente</x:v>
      </x:c>
    </x:row>
    <x:row r="9">
      <x:c r="A9" s="40" t="str">
        <x:v>Sponsor Ejecutivo</x:v>
      </x:c>
      <x:c r="B9" s="40" t="str">
        <x:v>[Nombre]</x:v>
      </x:c>
      <x:c r="C9" s="40" t="str">
        <x:v>Go-Live objetivo</x:v>
      </x:c>
      <x:c r="D9" s="40" t="str">
        <x:v>[YYYY-MM-DD]</x:v>
      </x:c>
      <x:c r="F9" s="40" t="str">
        <x:v>RACI</x:v>
      </x:c>
      <x:c r="G9" s="40" t="n">
        <x:f>'03_ES_RACI_Nominal'!J12</x:f>
        <x:v>0</x:v>
      </x:c>
      <x:c r="H9" s="40" t="str">
        <x:f>'03_ES_RACI_Nominal'!J13</x:f>
        <x:v>En Riesgo</x:v>
      </x:c>
    </x:row>
    <x:row r="10">
      <x:c r="A10" s="40" t="str">
        <x:v>Director de Tecnología</x:v>
      </x:c>
      <x:c r="B10" s="40" t="str">
        <x:v>[Nombre]</x:v>
      </x:c>
      <x:c r="C10" s="40" t="str">
        <x:v>Variación de cronograma</x:v>
      </x:c>
      <x:c r="D10" s="40" t="str">
        <x:v>[+/- días]</x:v>
      </x:c>
      <x:c r="F10" s="40" t="str">
        <x:v>Gates Calidad</x:v>
      </x:c>
      <x:c r="G10" s="40" t="n">
        <x:f>'05_ES_Gates_Calidad'!H12</x:f>
        <x:v>0</x:v>
      </x:c>
      <x:c r="H10" s="40" t="str">
        <x:f>'05_ES_Gates_Calidad'!H13</x:f>
        <x:v>Pendiente</x:v>
      </x:c>
    </x:row>
    <x:row r="11">
      <x:c r="A11" s="40" t="str">
        <x:v>Delivery Owner</x:v>
      </x:c>
      <x:c r="B11" s="40" t="str">
        <x:v>[Nombre]</x:v>
      </x:c>
      <x:c r="C11" s="40" t="str">
        <x:v>Decisión requerida</x:v>
      </x:c>
      <x:c r="D11" s="40" t="str">
        <x:v>[Avanzar / Condicional / Bloquear / Escalar]</x:v>
      </x:c>
      <x:c r="F11" s="40" t="str">
        <x:v>Riesgos abiertos</x:v>
      </x:c>
      <x:c r="G11" s="40" t="n">
        <x:f>'06_ES_Riesgos_Decisiones'!H12</x:f>
        <x:v>2</x:v>
      </x:c>
      <x:c r="H11" s="40" t="str">
        <x:f>'06_ES_Riesgos_Decisiones'!H13</x:f>
        <x:v>En Riesgo</x:v>
      </x:c>
    </x:row>
    <x:row r="13">
      <x:c r="A13" s="21" t="str">
        <x:v>Lectura ejecutiva rápida</x:v>
      </x:c>
      <x:c r="B13" s="21"/>
      <x:c r="C13" s="21"/>
      <x:c r="D13" s="21"/>
      <x:c r="E13" s="21"/>
      <x:c r="F13" s="21"/>
      <x:c r="G13" s="21"/>
      <x:c r="H13" s="21"/>
    </x:row>
    <x:row r="14">
      <x:c r="A14" s="39" t="str">
        <x:v>Elemento</x:v>
      </x:c>
      <x:c r="B14" s="39" t="str">
        <x:v>Qué debe responder</x:v>
      </x:c>
      <x:c r="C14" s="39" t="str">
        <x:v>Fuente</x:v>
      </x:c>
    </x:row>
    <x:row r="15">
      <x:c r="A15" s="40" t="str">
        <x:v>Fase actual</x:v>
      </x:c>
      <x:c r="B15" s="40" t="str">
        <x:v>¿Dónde está la iniciativa dentro del SDLC?</x:v>
      </x:c>
      <x:c r="C15" s="40" t="str">
        <x:v>02_ES_Fases</x:v>
      </x:c>
    </x:row>
    <x:row r="16">
      <x:c r="A16" s="40" t="str">
        <x:v>Evidencia crítica</x:v>
      </x:c>
      <x:c r="B16" s="40" t="str">
        <x:v>¿Tenemos PRD, ADR, historias, TSR, Release Notes o equivalentes?</x:v>
      </x:c>
      <x:c r="C16" s="40" t="str">
        <x:v>04_ES_Artefactos</x:v>
      </x:c>
    </x:row>
    <x:row r="17">
      <x:c r="A17" s="40" t="str">
        <x:v>Roles nominales</x:v>
      </x:c>
      <x:c r="B17" s="40" t="str">
        <x:v>¿Hay empleados reales asignados a Accountable / Responsible?</x:v>
      </x:c>
      <x:c r="C17" s="40" t="str">
        <x:v>03_ES_RACI_Nominal</x:v>
      </x:c>
    </x:row>
    <x:row r="18">
      <x:c r="A18" s="40" t="str">
        <x:v>Calidad</x:v>
      </x:c>
      <x:c r="B18" s="40" t="str">
        <x:v>¿Los umbrales bloqueantes pasan o requieren decisión?</x:v>
      </x:c>
      <x:c r="C18" s="40" t="str">
        <x:v>05_ES_Gates_Calidad</x:v>
      </x:c>
    </x:row>
    <x:row r="19">
      <x:c r="A19" s="40" t="str">
        <x:v>Riesgos / decisiones</x:v>
      </x:c>
      <x:c r="B19" s="40" t="str">
        <x:v>¿Dónde debe intervenir liderazgo?</x:v>
      </x:c>
      <x:c r="C19" s="40" t="str">
        <x:v>06_ES_Riesgos_Decisiones</x:v>
      </x:c>
    </x:row>
    <x:row r="21">
      <x:c r="A21" s="21" t="str">
        <x:v>Decisión ejecutiva</x:v>
      </x:c>
      <x:c r="B21" s="21"/>
      <x:c r="C21" s="21"/>
      <x:c r="D21" s="21"/>
      <x:c r="E21" s="21"/>
      <x:c r="F21" s="21"/>
      <x:c r="G21" s="21"/>
      <x:c r="H21" s="21"/>
    </x:row>
    <x:row r="22">
      <x:c r="A22" s="39" t="str">
        <x:v>Decisión</x:v>
      </x:c>
      <x:c r="B22" s="39" t="str">
        <x:v>Aprobado por</x:v>
      </x:c>
      <x:c r="C22" s="39" t="str">
        <x:v>Condiciones</x:v>
      </x:c>
      <x:c r="D22" s="39" t="str">
        <x:v>Próxima revisión</x:v>
      </x:c>
      <x:c r="E22" s="39" t="str">
        <x:v>Comentarios</x:v>
      </x:c>
    </x:row>
    <x:row r="23">
      <x:c r="A23" s="40" t="str">
        <x:v>[Avanzar / Avance Condicional / Bloquear / Escalar]</x:v>
      </x:c>
      <x:c r="B23" s="40" t="str">
        <x:v>[Nombre / Rol]</x:v>
      </x:c>
      <x:c r="C23" s="40" t="str">
        <x:v>[Condiciones o N/A]</x:v>
      </x:c>
      <x:c r="D23" s="40" t="str">
        <x:v>[YYYY-MM-DD]</x:v>
      </x:c>
      <x:c r="E23" s="40" t="str">
        <x:v>[Notas]</x:v>
      </x:c>
    </x:row>
  </x:sheetData>
  <x:mergeCells>
    <x:mergeCell ref="A1:H1"/>
    <x:mergeCell ref="A2:H2"/>
    <x:mergeCell ref="A4:H4"/>
    <x:mergeCell ref="F5:H5"/>
    <x:mergeCell ref="A13:H13"/>
    <x:mergeCell ref="A21:H2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45" hidden="0" customWidth="1"/>
    <x:col min="6" max="6" width="24" hidden="0" customWidth="1"/>
    <x:col min="7" max="7" width="24" hidden="0" customWidth="1"/>
    <x:col min="8" max="8" width="12" hidden="0" customWidth="1"/>
  </x:cols>
  <x:sheetData>
    <x:row r="1" ht="28" customHeight="1">
      <x:c r="A1" s="5" t="str">
        <x:v>Aplicabilidad y Readiness por Fase</x:v>
      </x:c>
      <x:c r="B1" s="5"/>
      <x:c r="C1" s="5"/>
      <x:c r="D1" s="5"/>
      <x:c r="E1" s="5"/>
      <x:c r="F1" s="5"/>
      <x:c r="G1" s="5"/>
      <x:c r="H1" s="5"/>
    </x:row>
    <x:row r="2" ht="34" customHeight="1">
      <x:c r="A2" s="13" t="str">
        <x:v>Registrar qué fases aplican, qué gate gobierna cada fase, evidencia, accountable y decisión.</x:v>
      </x:c>
      <x:c r="B2" s="13"/>
      <x:c r="C2" s="13"/>
      <x:c r="D2" s="13"/>
      <x:c r="E2" s="13"/>
      <x:c r="F2" s="13"/>
      <x:c r="G2" s="13"/>
      <x:c r="H2" s="13"/>
    </x:row>
    <x:row r="4">
      <x:c r="A4" s="39" t="str">
        <x:v>Fase</x:v>
      </x:c>
      <x:c r="B4" s="39" t="str">
        <x:v>Aplicabilidad</x:v>
      </x:c>
      <x:c r="C4" s="39" t="str">
        <x:v>Gate</x:v>
      </x:c>
      <x:c r="D4" s="39" t="str">
        <x:v>Estado</x:v>
      </x:c>
      <x:c r="E4" s="39" t="str">
        <x:v>Evidencia mínima</x:v>
      </x:c>
      <x:c r="F4" s="39" t="str">
        <x:v>Accountable nominal</x:v>
      </x:c>
      <x:c r="G4" s="39" t="str">
        <x:v>Decisión</x:v>
      </x:c>
      <x:c r="H4" s="39" t="str">
        <x:v>% Ready</x:v>
      </x:c>
    </x:row>
    <x:row r="5">
      <x:c r="A5" s="40" t="str">
        <x:v>Concepción</x:v>
      </x:c>
      <x:c r="B5" s="40" t="str">
        <x:v>Aplica</x:v>
      </x:c>
      <x:c r="C5" s="40" t="str">
        <x:v>Aprobación de Negocio</x:v>
      </x:c>
      <x:c r="D5" s="40" t="str">
        <x:v>Pendiente</x:v>
      </x:c>
      <x:c r="E5" s="40" t="str">
        <x:v>PRD aprobado, alcance, objetivos, restricciones</x:v>
      </x:c>
      <x:c r="F5" s="40" t="str">
        <x:v>[Nombre]</x:v>
      </x:c>
      <x:c r="G5" s="40" t="str">
        <x:v>Pendiente</x:v>
      </x:c>
      <x:c r="H5" s="43" t="n">
        <x:f>IF(D5="Listo",1,IF(D5="En Curso",0.5,IF(D5="Observación",0.6,IF(D5="N/A",1,0))))</x:f>
        <x:v>0</x:v>
      </x:c>
    </x:row>
    <x:row r="6">
      <x:c r="A6" s="40" t="str">
        <x:v>Diseño</x:v>
      </x:c>
      <x:c r="B6" s="40" t="str">
        <x:v>Aplica</x:v>
      </x:c>
      <x:c r="C6" s="40" t="str">
        <x:v>Baseline de Diseño</x:v>
      </x:c>
      <x:c r="D6" s="40" t="str">
        <x:v>Pendiente</x:v>
      </x:c>
      <x:c r="E6" s="40" t="str">
        <x:v>ADRs, Historias Funcionales, Blueprint alignment</x:v>
      </x:c>
      <x:c r="F6" s="40" t="str">
        <x:v>[Nombre]</x:v>
      </x:c>
      <x:c r="G6" s="40" t="str">
        <x:v>Pendiente</x:v>
      </x:c>
      <x:c r="H6" s="43" t="n">
        <x:f>IF(D6="Listo",1,IF(D6="En Curso",0.5,IF(D6="Observación",0.6,IF(D6="N/A",1,0))))</x:f>
        <x:v>0</x:v>
      </x:c>
    </x:row>
    <x:row r="7">
      <x:c r="A7" s="40" t="str">
        <x:v>Construcción</x:v>
      </x:c>
      <x:c r="B7" s="40" t="str">
        <x:v>Aplica</x:v>
      </x:c>
      <x:c r="C7" s="40" t="str">
        <x:v>Build Exitoso</x:v>
      </x:c>
      <x:c r="D7" s="40" t="str">
        <x:v>Pendiente</x:v>
      </x:c>
      <x:c r="E7" s="40" t="str">
        <x:v>Historias Técnicas, CI, DoD, delta documental</x:v>
      </x:c>
      <x:c r="F7" s="40" t="str">
        <x:v>[Nombre]</x:v>
      </x:c>
      <x:c r="G7" s="40" t="str">
        <x:v>Pendiente</x:v>
      </x:c>
      <x:c r="H7" s="43" t="n">
        <x:f>IF(D7="Listo",1,IF(D7="En Curso",0.5,IF(D7="Observación",0.6,IF(D7="N/A",1,0))))</x:f>
        <x:v>0</x:v>
      </x:c>
    </x:row>
    <x:row r="8">
      <x:c r="A8" s="40" t="str">
        <x:v>Validación</x:v>
      </x:c>
      <x:c r="B8" s="40" t="str">
        <x:v>Aplica</x:v>
      </x:c>
      <x:c r="C8" s="40" t="str">
        <x:v>RC Sellado</x:v>
      </x:c>
      <x:c r="D8" s="40" t="str">
        <x:v>Pendiente</x:v>
      </x:c>
      <x:c r="E8" s="40" t="str">
        <x:v>Test Summary Report, criterios de aceptación, QA evidence</x:v>
      </x:c>
      <x:c r="F8" s="40" t="str">
        <x:v>[Nombre]</x:v>
      </x:c>
      <x:c r="G8" s="40" t="str">
        <x:v>Pendiente</x:v>
      </x:c>
      <x:c r="H8" s="43" t="n">
        <x:f>IF(D8="Listo",1,IF(D8="En Curso",0.5,IF(D8="Observación",0.6,IF(D8="N/A",1,0))))</x:f>
        <x:v>0</x:v>
      </x:c>
    </x:row>
    <x:row r="9">
      <x:c r="A9" s="40" t="str">
        <x:v>Entrega</x:v>
      </x:c>
      <x:c r="B9" s="40" t="str">
        <x:v>Aplica</x:v>
      </x:c>
      <x:c r="C9" s="40" t="str">
        <x:v>Producción Activa</x:v>
      </x:c>
      <x:c r="D9" s="40" t="str">
        <x:v>Pendiente</x:v>
      </x:c>
      <x:c r="E9" s="40" t="str">
        <x:v>Release Notes, rollback, observabilidad, monitoreo nominal</x:v>
      </x:c>
      <x:c r="F9" s="40" t="str">
        <x:v>[Nombre]</x:v>
      </x:c>
      <x:c r="G9" s="40" t="str">
        <x:v>Pendiente</x:v>
      </x:c>
      <x:c r="H9" s="43" t="n">
        <x:f>IF(D9="Listo",1,IF(D9="En Curso",0.5,IF(D9="Observación",0.6,IF(D9="N/A",1,0))))</x:f>
        <x:v>0</x:v>
      </x:c>
    </x:row>
    <x:row r="10">
      <x:c r="H10" s="44"/>
    </x:row>
    <x:row r="11">
      <x:c r="H11" s="44"/>
    </x:row>
    <x:row r="12">
      <x:c r="G12" t="str">
        <x:v>Readiness fases</x:v>
      </x:c>
      <x:c r="H12" s="44" t="n">
        <x:f>IFERROR(AVERAGE(H5:H9),0)</x:f>
        <x:v>0</x:v>
      </x:c>
    </x:row>
    <x:row r="13">
      <x:c r="G13" t="str">
        <x:v>Estado</x:v>
      </x:c>
      <x:c r="H13" t="str">
        <x:f>IF(COUNTIF(D5:D9,"Bloqueado")&gt;0,"Bloqueado",IF(COUNTIF(D5:D9,"En Riesgo")&gt;0,"En Riesgo",IF(H12&gt;=0.9,"Listo",IF(H12&gt;=0.6,"Observación","Pendiente"))))</x:f>
        <x:v>Pendiente</x:v>
      </x:c>
    </x:row>
  </x:sheetData>
  <x:mergeCells>
    <x:mergeCell ref="A1:H1"/>
    <x:mergeCell ref="A2:H2"/>
  </x:mergeCells>
  <x:conditionalFormatting sqref="D5:D9">
    <x:cfRule type="expression" dxfId="0" priority="1">
      <x:formula>OR(D5="Listo",D5="Asignado",D5="Resuelto",D5="Cerrado")</x:formula>
    </x:cfRule>
    <x:cfRule type="expression" dxfId="1" priority="2">
      <x:formula>OR(D5="Observación",D5="Parcial",D5="En Progreso")</x:formula>
    </x:cfRule>
    <x:cfRule type="expression" dxfId="2" priority="3">
      <x:formula>OR(D5="En Riesgo",D5="Faltante")</x:formula>
    </x:cfRule>
    <x:cfRule type="expression" dxfId="3" priority="4">
      <x:formula>OR(D5="Bloqueado",D5="Abierto")</x:formula>
    </x:cfRule>
  </x:conditionalFormatting>
  <x:dataValidations count="3">
    <x:dataValidation type="list" sqref="B5:B9">
      <x:formula1>"Aplica,Adaptada,Diferida,N/A"</x:formula1>
    </x:dataValidation>
    <x:dataValidation type="list" sqref="D5:D9">
      <x:formula1>"Listo,En Curso,Observación,En Riesgo,Bloqueado,Pendiente,N/A"</x:formula1>
    </x:dataValidation>
    <x:dataValidation type="list" sqref="G5:G9">
      <x:formula1>"Avanzar,Avance Condicional,Bloquear,Escalar,Pendiente"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2" hidden="0" customWidth="1"/>
    <x:col min="3" max="3" width="24" hidden="0" customWidth="1"/>
    <x:col min="4" max="4" width="12" hidden="0" customWidth="1"/>
    <x:col min="5" max="5" width="13" hidden="0" customWidth="1"/>
    <x:col min="6" max="6" width="13" hidden="0" customWidth="1"/>
    <x:col min="7" max="7" width="13" hidden="0" customWidth="1"/>
    <x:col min="8" max="8" width="24" hidden="0" customWidth="1"/>
    <x:col min="9" max="9" width="20" hidden="0" customWidth="1"/>
    <x:col min="10" max="10" width="16" hidden="0" customWidth="1"/>
  </x:cols>
  <x:sheetData>
    <x:row r="1" ht="28" customHeight="1">
      <x:c r="A1" s="5" t="str">
        <x:v>Matriz RACI Nominal por Fase y Gate</x:v>
      </x:c>
      <x:c r="B1" s="5"/>
      <x:c r="C1" s="5"/>
      <x:c r="D1" s="5"/>
      <x:c r="E1" s="5"/>
      <x:c r="F1" s="5"/>
      <x:c r="G1" s="5"/>
      <x:c r="H1" s="5"/>
    </x:row>
    <x:row r="2" ht="34" customHeight="1">
      <x:c r="A2" s="13" t="str">
        <x:v>Asignar empleados reales a roles y detectar brechas antes de cada gate review.</x:v>
      </x:c>
      <x:c r="B2" s="13"/>
      <x:c r="C2" s="13"/>
      <x:c r="D2" s="13"/>
      <x:c r="E2" s="13"/>
      <x:c r="F2" s="13"/>
      <x:c r="G2" s="13"/>
      <x:c r="H2" s="13"/>
    </x:row>
    <x:row r="4">
      <x:c r="A4" s="39" t="str">
        <x:v>Fase</x:v>
      </x:c>
      <x:c r="B4" s="39" t="str">
        <x:v>Gate</x:v>
      </x:c>
      <x:c r="C4" s="39" t="str">
        <x:v>Perfil Evolith</x:v>
      </x:c>
      <x:c r="D4" s="39" t="str">
        <x:v>Accountable (A)</x:v>
      </x:c>
      <x:c r="E4" s="39" t="str">
        <x:v>Responsible (R)</x:v>
      </x:c>
      <x:c r="F4" s="39" t="str">
        <x:v>Consulted (C)</x:v>
      </x:c>
      <x:c r="G4" s="39" t="str">
        <x:v>Informed (I)</x:v>
      </x:c>
      <x:c r="H4" s="39" t="str">
        <x:v>Empleado nominal</x:v>
      </x:c>
      <x:c r="I4" s="39" t="str">
        <x:v>Backup</x:v>
      </x:c>
      <x:c r="J4" s="39" t="str">
        <x:v>Estado</x:v>
      </x:c>
    </x:row>
    <x:row r="5">
      <x:c r="A5" s="40" t="str">
        <x:v>Concepción</x:v>
      </x:c>
      <x:c r="B5" s="40" t="str">
        <x:v>Aprobación de Negocio</x:v>
      </x:c>
      <x:c r="C5" s="40" t="str">
        <x:v>Sponsor Ejecutivo</x:v>
      </x:c>
      <x:c r="D5" s="40" t="str">
        <x:v>X</x:v>
      </x:c>
      <x:c r="E5" s="40" t="str"/>
      <x:c r="F5" s="40" t="str">
        <x:v>C</x:v>
      </x:c>
      <x:c r="G5" s="40" t="str">
        <x:v>I</x:v>
      </x:c>
      <x:c r="H5" s="40" t="str">
        <x:v>[Nombre]</x:v>
      </x:c>
      <x:c r="I5" s="40" t="str">
        <x:v>[Backup]</x:v>
      </x:c>
      <x:c r="J5" s="40" t="str">
        <x:v>Faltante</x:v>
      </x:c>
    </x:row>
    <x:row r="6">
      <x:c r="A6" s="40" t="str">
        <x:v>Concepción</x:v>
      </x:c>
      <x:c r="B6" s="40" t="str">
        <x:v>Aprobación de Negocio</x:v>
      </x:c>
      <x:c r="C6" s="40" t="str">
        <x:v>Product Owner</x:v>
      </x:c>
      <x:c r="D6" s="40" t="str"/>
      <x:c r="E6" s="40" t="str">
        <x:v>X</x:v>
      </x:c>
      <x:c r="F6" s="40" t="str">
        <x:v>C</x:v>
      </x:c>
      <x:c r="G6" s="40" t="str">
        <x:v>I</x:v>
      </x:c>
      <x:c r="H6" s="40" t="str">
        <x:v>[Nombre]</x:v>
      </x:c>
      <x:c r="I6" s="40" t="str">
        <x:v>[Backup]</x:v>
      </x:c>
      <x:c r="J6" s="40" t="str">
        <x:v>Faltante</x:v>
      </x:c>
    </x:row>
    <x:row r="7">
      <x:c r="A7" s="40" t="str">
        <x:v>Diseño</x:v>
      </x:c>
      <x:c r="B7" s="40" t="str">
        <x:v>Baseline de Diseño</x:v>
      </x:c>
      <x:c r="C7" s="40" t="str">
        <x:v>Arquitecto de Software</x:v>
      </x:c>
      <x:c r="D7" s="40" t="str">
        <x:v>X</x:v>
      </x:c>
      <x:c r="E7" s="40" t="str">
        <x:v>X</x:v>
      </x:c>
      <x:c r="F7" s="40" t="str">
        <x:v>C</x:v>
      </x:c>
      <x:c r="G7" s="40" t="str">
        <x:v>I</x:v>
      </x:c>
      <x:c r="H7" s="40" t="str">
        <x:v>[Nombre]</x:v>
      </x:c>
      <x:c r="I7" s="40" t="str">
        <x:v>[Backup]</x:v>
      </x:c>
      <x:c r="J7" s="40" t="str">
        <x:v>Faltante</x:v>
      </x:c>
    </x:row>
    <x:row r="8">
      <x:c r="A8" s="40" t="str">
        <x:v>Construcción</x:v>
      </x:c>
      <x:c r="B8" s="40" t="str">
        <x:v>Build Exitoso</x:v>
      </x:c>
      <x:c r="C8" s="40" t="str">
        <x:v>Tech Lead</x:v>
      </x:c>
      <x:c r="D8" s="40" t="str">
        <x:v>X</x:v>
      </x:c>
      <x:c r="E8" s="40" t="str">
        <x:v>X</x:v>
      </x:c>
      <x:c r="F8" s="40" t="str">
        <x:v>C</x:v>
      </x:c>
      <x:c r="G8" s="40" t="str">
        <x:v>I</x:v>
      </x:c>
      <x:c r="H8" s="40" t="str">
        <x:v>[Nombre]</x:v>
      </x:c>
      <x:c r="I8" s="40" t="str">
        <x:v>[Backup]</x:v>
      </x:c>
      <x:c r="J8" s="40" t="str">
        <x:v>Faltante</x:v>
      </x:c>
    </x:row>
    <x:row r="9">
      <x:c r="A9" s="40" t="str">
        <x:v>Construcción</x:v>
      </x:c>
      <x:c r="B9" s="40" t="str">
        <x:v>Build Exitoso</x:v>
      </x:c>
      <x:c r="C9" s="40" t="str">
        <x:v>Equipo de Ingeniería</x:v>
      </x:c>
      <x:c r="D9" s="40" t="str"/>
      <x:c r="E9" s="40" t="str">
        <x:v>X</x:v>
      </x:c>
      <x:c r="F9" s="40" t="str">
        <x:v>C</x:v>
      </x:c>
      <x:c r="G9" s="40" t="str">
        <x:v>I</x:v>
      </x:c>
      <x:c r="H9" s="40" t="str">
        <x:v>[Nombre/equipo]</x:v>
      </x:c>
      <x:c r="I9" s="40" t="str">
        <x:v>[Backup]</x:v>
      </x:c>
      <x:c r="J9" s="40" t="str">
        <x:v>Faltante</x:v>
      </x:c>
    </x:row>
    <x:row r="10">
      <x:c r="A10" s="40" t="str">
        <x:v>Validación</x:v>
      </x:c>
      <x:c r="B10" s="40" t="str">
        <x:v>RC Sellado</x:v>
      </x:c>
      <x:c r="C10" s="40" t="str">
        <x:v>QA Lead</x:v>
      </x:c>
      <x:c r="D10" s="40" t="str">
        <x:v>X</x:v>
      </x:c>
      <x:c r="E10" s="40" t="str">
        <x:v>X</x:v>
      </x:c>
      <x:c r="F10" s="40" t="str">
        <x:v>C</x:v>
      </x:c>
      <x:c r="G10" s="40" t="str">
        <x:v>I</x:v>
      </x:c>
      <x:c r="H10" s="40" t="str">
        <x:v>[Nombre]</x:v>
      </x:c>
      <x:c r="I10" s="40" t="str">
        <x:v>[Backup]</x:v>
      </x:c>
      <x:c r="J10" s="40" t="str">
        <x:v>Faltante</x:v>
      </x:c>
    </x:row>
    <x:row r="11">
      <x:c r="A11" s="40" t="str">
        <x:v>Validación</x:v>
      </x:c>
      <x:c r="B11" s="40" t="str">
        <x:v>RC Sellado</x:v>
      </x:c>
      <x:c r="C11" s="40" t="str">
        <x:v>QA / SDET</x:v>
      </x:c>
      <x:c r="D11" s="40" t="str"/>
      <x:c r="E11" s="40" t="str">
        <x:v>X</x:v>
      </x:c>
      <x:c r="F11" s="40" t="str">
        <x:v>C</x:v>
      </x:c>
      <x:c r="G11" s="40" t="str">
        <x:v>I</x:v>
      </x:c>
      <x:c r="H11" s="40" t="str">
        <x:v>[Nombre]</x:v>
      </x:c>
      <x:c r="I11" s="40" t="str">
        <x:v>[Backup]</x:v>
      </x:c>
      <x:c r="J11" s="40" t="str">
        <x:v>Faltante</x:v>
      </x:c>
    </x:row>
    <x:row r="12">
      <x:c r="A12" s="40" t="str">
        <x:v>Entrega</x:v>
      </x:c>
      <x:c r="B12" s="40" t="str">
        <x:v>Producción Activa</x:v>
      </x:c>
      <x:c r="C12" s="40" t="str">
        <x:v>DevOps / SRE Lead</x:v>
      </x:c>
      <x:c r="D12" s="40" t="str">
        <x:v>X</x:v>
      </x:c>
      <x:c r="E12" s="40" t="str">
        <x:v>X</x:v>
      </x:c>
      <x:c r="F12" s="40" t="str">
        <x:v>C</x:v>
      </x:c>
      <x:c r="G12" s="40" t="str">
        <x:v>I</x:v>
      </x:c>
      <x:c r="H12" s="40" t="str">
        <x:v>[Nombre]</x:v>
      </x:c>
      <x:c r="I12" s="40" t="str">
        <x:v>Readiness RACI</x:v>
      </x:c>
      <x:c r="J12" s="43" t="n">
        <x:f>IFERROR(COUNTIF(J5:J13,"Asignado")/COUNTA(J5:J13),0)</x:f>
        <x:v>0</x:v>
      </x:c>
    </x:row>
    <x:row r="13">
      <x:c r="A13" s="40" t="str">
        <x:v>Transversal</x:v>
      </x:c>
      <x:c r="B13" s="40" t="str">
        <x:v>Todos</x:v>
      </x:c>
      <x:c r="C13" s="40" t="str">
        <x:v>Technology Director</x:v>
      </x:c>
      <x:c r="D13" s="40" t="str">
        <x:v>A</x:v>
      </x:c>
      <x:c r="E13" s="40" t="str"/>
      <x:c r="F13" s="40" t="str">
        <x:v>C</x:v>
      </x:c>
      <x:c r="G13" s="40" t="str">
        <x:v>I</x:v>
      </x:c>
      <x:c r="H13" s="40" t="str">
        <x:v>[Nombre]</x:v>
      </x:c>
      <x:c r="I13" s="40" t="str">
        <x:v>Estado</x:v>
      </x:c>
      <x:c r="J13" s="40" t="str">
        <x:f>IF(COUNTIF(J5:J13,"Faltante")&gt;0,"En Riesgo",IF(COUNTIF(J5:J13,"Parcial")&gt;0,"Observación","Listo"))</x:f>
        <x:v>En Riesgo</x:v>
      </x:c>
    </x:row>
  </x:sheetData>
  <x:mergeCells>
    <x:mergeCell ref="A1:H1"/>
    <x:mergeCell ref="A2:H2"/>
  </x:mergeCells>
  <x:conditionalFormatting sqref="J5:J13">
    <x:cfRule type="expression" dxfId="4" priority="1">
      <x:formula>OR(J5="Listo",J5="Asignado",J5="Resuelto",J5="Cerrado")</x:formula>
    </x:cfRule>
    <x:cfRule type="expression" dxfId="5" priority="2">
      <x:formula>OR(J5="Observación",J5="Parcial",J5="En Progreso")</x:formula>
    </x:cfRule>
    <x:cfRule type="expression" dxfId="6" priority="3">
      <x:formula>OR(J5="En Riesgo",J5="Faltante")</x:formula>
    </x:cfRule>
    <x:cfRule type="expression" dxfId="7" priority="4">
      <x:formula>OR(J5="Bloqueado",J5="Abierto")</x:formula>
    </x:cfRule>
  </x:conditionalFormatting>
  <x:dataValidations count="1">
    <x:dataValidation type="list" sqref="J5:J13">
      <x:formula1>"Asignado,Parcial,Faltante,N/A"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4" hidden="0" customWidth="1"/>
    <x:col min="4" max="4" width="16" hidden="0" customWidth="1"/>
    <x:col min="5" max="5" width="22" hidden="0" customWidth="1"/>
    <x:col min="6" max="6" width="30" hidden="0" customWidth="1"/>
    <x:col min="7" max="7" width="32" hidden="0" customWidth="1"/>
    <x:col min="8" max="8" width="16" hidden="0" customWidth="1"/>
    <x:col min="9" max="9" width="36" hidden="0" customWidth="1"/>
  </x:cols>
  <x:sheetData>
    <x:row r="1" ht="28" customHeight="1">
      <x:c r="A1" s="5" t="str">
        <x:v>Registro de Artefactos SDLC</x:v>
      </x:c>
      <x:c r="B1" s="5"/>
      <x:c r="C1" s="5"/>
      <x:c r="D1" s="5"/>
      <x:c r="E1" s="5"/>
      <x:c r="F1" s="5"/>
      <x:c r="G1" s="5"/>
      <x:c r="H1" s="5"/>
    </x:row>
    <x:row r="2" ht="34" customHeight="1">
      <x:c r="A2" s="13" t="str">
        <x:v>Definir qué artefactos adopta el cliente y registrar owner, evidencia, brecha y fecha objetivo.</x:v>
      </x:c>
      <x:c r="B2" s="13"/>
      <x:c r="C2" s="13"/>
      <x:c r="D2" s="13"/>
      <x:c r="E2" s="13"/>
      <x:c r="F2" s="13"/>
      <x:c r="G2" s="13"/>
      <x:c r="H2" s="13"/>
    </x:row>
    <x:row r="4">
      <x:c r="A4" s="39" t="str">
        <x:v>Artefacto</x:v>
      </x:c>
      <x:c r="B4" s="39" t="str">
        <x:v>Fase principal</x:v>
      </x:c>
      <x:c r="C4" s="39" t="str">
        <x:v>Tipo</x:v>
      </x:c>
      <x:c r="D4" s="39" t="str">
        <x:v>Estado</x:v>
      </x:c>
      <x:c r="E4" s="39" t="str">
        <x:v>Owner</x:v>
      </x:c>
      <x:c r="F4" s="39" t="str">
        <x:v>Link evidencia</x:v>
      </x:c>
      <x:c r="G4" s="39" t="str">
        <x:v>Brecha</x:v>
      </x:c>
      <x:c r="H4" s="39" t="str">
        <x:v>Fecha objetivo</x:v>
      </x:c>
      <x:c r="I4" s="39" t="str">
        <x:v>Comentario</x:v>
      </x:c>
    </x:row>
    <x:row r="5">
      <x:c r="A5" s="40" t="str">
        <x:v>PRD</x:v>
      </x:c>
      <x:c r="B5" s="40" t="str">
        <x:v>Concepción</x:v>
      </x:c>
      <x:c r="C5" s="40" t="str">
        <x:v>Requerido</x:v>
      </x:c>
      <x:c r="D5" s="40" t="str">
        <x:v>Pendiente</x:v>
      </x:c>
      <x:c r="E5" s="40" t="str">
        <x:v>Product Owner</x:v>
      </x:c>
      <x:c r="F5" s="40" t="str">
        <x:v>[Link]</x:v>
      </x:c>
      <x:c r="G5" s="40" t="str">
        <x:v>Pendiente aprobación</x:v>
      </x:c>
      <x:c r="H5" s="40" t="str">
        <x:v>[Fecha]</x:v>
      </x:c>
      <x:c r="I5" s="40" t="str"/>
    </x:row>
    <x:row r="6">
      <x:c r="A6" s="40" t="str">
        <x:v>ADR(s)</x:v>
      </x:c>
      <x:c r="B6" s="40" t="str">
        <x:v>Diseño</x:v>
      </x:c>
      <x:c r="C6" s="40" t="str">
        <x:v>Condicional</x:v>
      </x:c>
      <x:c r="D6" s="40" t="str">
        <x:v>Pendiente</x:v>
      </x:c>
      <x:c r="E6" s="40" t="str">
        <x:v>Arquitecto</x:v>
      </x:c>
      <x:c r="F6" s="40" t="str">
        <x:v>[Link]</x:v>
      </x:c>
      <x:c r="G6" s="40" t="str">
        <x:v>Identificar decisiones significativas</x:v>
      </x:c>
      <x:c r="H6" s="40" t="str">
        <x:v>[Fecha]</x:v>
      </x:c>
      <x:c r="I6" s="40" t="str"/>
    </x:row>
    <x:row r="7">
      <x:c r="A7" s="40" t="str">
        <x:v>Historias Funcionales</x:v>
      </x:c>
      <x:c r="B7" s="40" t="str">
        <x:v>Diseño</x:v>
      </x:c>
      <x:c r="C7" s="40" t="str">
        <x:v>Requerido</x:v>
      </x:c>
      <x:c r="D7" s="40" t="str">
        <x:v>Pendiente</x:v>
      </x:c>
      <x:c r="E7" s="40" t="str">
        <x:v>Product Owner / BA</x:v>
      </x:c>
      <x:c r="F7" s="40" t="str">
        <x:v>[Link]</x:v>
      </x:c>
      <x:c r="G7" s="40" t="str">
        <x:v>Completar criterios de aceptación</x:v>
      </x:c>
      <x:c r="H7" s="40" t="str">
        <x:v>[Fecha]</x:v>
      </x:c>
      <x:c r="I7" s="40" t="str"/>
    </x:row>
    <x:row r="8">
      <x:c r="A8" s="40" t="str">
        <x:v>Historias Técnicas</x:v>
      </x:c>
      <x:c r="B8" s="40" t="str">
        <x:v>Construcción</x:v>
      </x:c>
      <x:c r="C8" s="40" t="str">
        <x:v>Requerido</x:v>
      </x:c>
      <x:c r="D8" s="40" t="str">
        <x:v>Pendiente</x:v>
      </x:c>
      <x:c r="E8" s="40" t="str">
        <x:v>Tech Lead</x:v>
      </x:c>
      <x:c r="F8" s="40" t="str">
        <x:v>[Link]</x:v>
      </x:c>
      <x:c r="G8" s="40" t="str">
        <x:v>Descomposición por sprint</x:v>
      </x:c>
      <x:c r="H8" s="40" t="str">
        <x:v>[Fecha]</x:v>
      </x:c>
      <x:c r="I8" s="40" t="str"/>
    </x:row>
    <x:row r="9">
      <x:c r="A9" s="40" t="str">
        <x:v>Evidencia CI</x:v>
      </x:c>
      <x:c r="B9" s="40" t="str">
        <x:v>Construcción</x:v>
      </x:c>
      <x:c r="C9" s="40" t="str">
        <x:v>Requerido</x:v>
      </x:c>
      <x:c r="D9" s="40" t="str">
        <x:v>Pendiente</x:v>
      </x:c>
      <x:c r="E9" s="40" t="str">
        <x:v>DevOps / Tech Lead</x:v>
      </x:c>
      <x:c r="F9" s="40" t="str">
        <x:v>[Link]</x:v>
      </x:c>
      <x:c r="G9" s="40" t="str">
        <x:v>Pipeline o run pendiente</x:v>
      </x:c>
      <x:c r="H9" s="40" t="str">
        <x:v>[Fecha]</x:v>
      </x:c>
      <x:c r="I9" s="40" t="str"/>
    </x:row>
    <x:row r="10">
      <x:c r="A10" s="40" t="str">
        <x:v>Test Summary Report</x:v>
      </x:c>
      <x:c r="B10" s="40" t="str">
        <x:v>Validación</x:v>
      </x:c>
      <x:c r="C10" s="40" t="str">
        <x:v>Requerido</x:v>
      </x:c>
      <x:c r="D10" s="40" t="str">
        <x:v>Pendiente</x:v>
      </x:c>
      <x:c r="E10" s="40" t="str">
        <x:v>QA Lead</x:v>
      </x:c>
      <x:c r="F10" s="40" t="str">
        <x:v>[Link]</x:v>
      </x:c>
      <x:c r="G10" s="40" t="str">
        <x:v>Falta evidencia consolidada</x:v>
      </x:c>
      <x:c r="H10" s="40" t="str">
        <x:v>[Fecha]</x:v>
      </x:c>
      <x:c r="I10" s="40" t="str"/>
    </x:row>
    <x:row r="11">
      <x:c r="A11" s="40" t="str">
        <x:v>Release Notes</x:v>
      </x:c>
      <x:c r="B11" s="40" t="str">
        <x:v>Entrega</x:v>
      </x:c>
      <x:c r="C11" s="40" t="str">
        <x:v>Requerido</x:v>
      </x:c>
      <x:c r="D11" s="40" t="str">
        <x:v>Pendiente</x:v>
      </x:c>
      <x:c r="E11" s="40" t="str">
        <x:v>DevOps / SRE</x:v>
      </x:c>
      <x:c r="F11" s="40" t="str">
        <x:v>[Link]</x:v>
      </x:c>
      <x:c r="G11" s="40" t="str">
        <x:v>Pendiente redactar</x:v>
      </x:c>
      <x:c r="H11" s="40" t="str">
        <x:v>[Fecha]</x:v>
      </x:c>
      <x:c r="I11" s="40" t="str"/>
    </x:row>
    <x:row r="12">
      <x:c r="A12" s="40" t="str">
        <x:v>Plan de Rollback</x:v>
      </x:c>
      <x:c r="B12" s="40" t="str">
        <x:v>Entrega</x:v>
      </x:c>
      <x:c r="C12" s="40" t="str">
        <x:v>Requerido</x:v>
      </x:c>
      <x:c r="D12" s="40" t="str">
        <x:v>Pendiente</x:v>
      </x:c>
      <x:c r="E12" s="40" t="str">
        <x:v>SRE Lead</x:v>
      </x:c>
      <x:c r="F12" s="40" t="str">
        <x:v>[Link]</x:v>
      </x:c>
      <x:c r="G12" s="40" t="str">
        <x:v>Readiness artefactos</x:v>
      </x:c>
      <x:c r="H12" s="43" t="n">
        <x:f>IFERROR(COUNTIF(D5:D14,"Listo")/COUNTIF(C5:C14,"Requerido"),0)</x:f>
        <x:v>0</x:v>
      </x:c>
      <x:c r="I12" s="40" t="str"/>
    </x:row>
    <x:row r="13">
      <x:c r="A13" s="40" t="str">
        <x:v>Checklist de Observabilidad</x:v>
      </x:c>
      <x:c r="B13" s="40" t="str">
        <x:v>Entrega</x:v>
      </x:c>
      <x:c r="C13" s="40" t="str">
        <x:v>Requerido</x:v>
      </x:c>
      <x:c r="D13" s="40" t="str">
        <x:v>Pendiente</x:v>
      </x:c>
      <x:c r="E13" s="40" t="str">
        <x:v>SRE Lead</x:v>
      </x:c>
      <x:c r="F13" s="40" t="str">
        <x:v>[Link]</x:v>
      </x:c>
      <x:c r="G13" s="40" t="str">
        <x:v>Estado</x:v>
      </x:c>
      <x:c r="H13" s="40" t="str">
        <x:f>IF(COUNTIF(D5:D14,"Bloqueado")&gt;0,"Bloqueado",IF(COUNTIF(D5:D14,"En Riesgo")&gt;0,"En Riesgo",IF(H12&gt;=0.9,"Listo",IF(H12&gt;=0.6,"Observación","Pendiente"))))</x:f>
        <x:v>Pendiente</x:v>
      </x:c>
      <x:c r="I13" s="40" t="str"/>
    </x:row>
    <x:row r="14">
      <x:c r="A14" s="40" t="str">
        <x:v>Scorecard Ejecutivo SDLC</x:v>
      </x:c>
      <x:c r="B14" s="40" t="str">
        <x:v>Transversal</x:v>
      </x:c>
      <x:c r="C14" s="40" t="str">
        <x:v>Condicional</x:v>
      </x:c>
      <x:c r="D14" s="40" t="str">
        <x:v>Pendiente</x:v>
      </x:c>
      <x:c r="E14" s="40" t="str">
        <x:v>Delivery Owner</x:v>
      </x:c>
      <x:c r="F14" s="40" t="str">
        <x:v>[Link]</x:v>
      </x:c>
      <x:c r="G14" s="40" t="str">
        <x:v>Pendiente completar</x:v>
      </x:c>
      <x:c r="H14" s="40" t="str">
        <x:v>[Fecha]</x:v>
      </x:c>
      <x:c r="I14" s="40" t="str">
        <x:v>Requerido si hay visibilidad ejecutiva o riesgo productivo</x:v>
      </x:c>
    </x:row>
  </x:sheetData>
  <x:mergeCells>
    <x:mergeCell ref="A1:H1"/>
    <x:mergeCell ref="A2:H2"/>
  </x:mergeCells>
  <x:conditionalFormatting sqref="D5:D14">
    <x:cfRule type="expression" dxfId="8" priority="1">
      <x:formula>OR(D5="Listo",D5="Asignado",D5="Resuelto",D5="Cerrado")</x:formula>
    </x:cfRule>
    <x:cfRule type="expression" dxfId="9" priority="2">
      <x:formula>OR(D5="Observación",D5="Parcial",D5="En Progreso")</x:formula>
    </x:cfRule>
    <x:cfRule type="expression" dxfId="10" priority="3">
      <x:formula>OR(D5="En Riesgo",D5="Faltante")</x:formula>
    </x:cfRule>
    <x:cfRule type="expression" dxfId="11" priority="4">
      <x:formula>OR(D5="Bloqueado",D5="Abierto")</x:formula>
    </x:cfRule>
  </x:conditionalFormatting>
  <x:dataValidations count="2">
    <x:dataValidation type="list" sqref="C5:C14">
      <x:formula1>"Requerido,Opcional,Condicional,N/A"</x:formula1>
    </x:dataValidation>
    <x:dataValidation type="list" sqref="D5:D14">
      <x:formula1>"Listo,En Curso,Observación,En Riesgo,Bloqueado,Pendiente,N/A"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18" hidden="0" customWidth="1"/>
    <x:col min="4" max="4" width="16" hidden="0" customWidth="1"/>
    <x:col min="5" max="5" width="26" hidden="0" customWidth="1"/>
    <x:col min="6" max="6" width="22" hidden="0" customWidth="1"/>
    <x:col min="7" max="7" width="20" hidden="0" customWidth="1"/>
    <x:col min="8" max="8" width="34" hidden="0" customWidth="1"/>
  </x:cols>
  <x:sheetData>
    <x:row r="1" ht="28" customHeight="1">
      <x:c r="A1" s="5" t="str">
        <x:v>Gates de Calidad SDLC Evolith</x:v>
      </x:c>
      <x:c r="B1" s="5"/>
      <x:c r="C1" s="5"/>
      <x:c r="D1" s="5"/>
      <x:c r="E1" s="5"/>
      <x:c r="F1" s="5"/>
      <x:c r="G1" s="5"/>
      <x:c r="H1" s="5"/>
    </x:row>
    <x:row r="2" ht="34" customHeight="1">
      <x:c r="A2" s="13" t="str">
        <x:v>Registrar umbrales, valores reales, evidencia, owner y decisión requerida.</x:v>
      </x:c>
      <x:c r="B2" s="13"/>
      <x:c r="C2" s="13"/>
      <x:c r="D2" s="13"/>
      <x:c r="E2" s="13"/>
      <x:c r="F2" s="13"/>
      <x:c r="G2" s="13"/>
      <x:c r="H2" s="13"/>
    </x:row>
    <x:row r="4">
      <x:c r="A4" s="39" t="str">
        <x:v>Métrica</x:v>
      </x:c>
      <x:c r="B4" s="39" t="str">
        <x:v>Umbral</x:v>
      </x:c>
      <x:c r="C4" s="39" t="str">
        <x:v>Actual</x:v>
      </x:c>
      <x:c r="D4" s="39" t="str">
        <x:v>Estado</x:v>
      </x:c>
      <x:c r="E4" s="39" t="str">
        <x:v>Evidencia</x:v>
      </x:c>
      <x:c r="F4" s="39" t="str">
        <x:v>Owner</x:v>
      </x:c>
      <x:c r="G4" s="39" t="str">
        <x:v>Decisión requerida</x:v>
      </x:c>
      <x:c r="H4" s="39" t="str">
        <x:v>Comentario</x:v>
      </x:c>
    </x:row>
    <x:row r="5">
      <x:c r="A5" s="40" t="str">
        <x:v>Cobertura lógica de negocio</x:v>
      </x:c>
      <x:c r="B5" s="40" t="str">
        <x:v>&gt;= 80%</x:v>
      </x:c>
      <x:c r="C5" s="40" t="str">
        <x:v>[X%]</x:v>
      </x:c>
      <x:c r="D5" s="40" t="str">
        <x:v>Pendiente</x:v>
      </x:c>
      <x:c r="E5" s="40" t="str">
        <x:v>[Link]</x:v>
      </x:c>
      <x:c r="F5" s="40" t="str">
        <x:v>Tech Lead / QA</x:v>
      </x:c>
      <x:c r="G5" s="40" t="str">
        <x:v>Sí</x:v>
      </x:c>
      <x:c r="H5" s="40" t="str">
        <x:v>Bloquea RC si falla</x:v>
      </x:c>
    </x:row>
    <x:row r="6">
      <x:c r="A6" s="40" t="str">
        <x:v>Complejidad ciclomática</x:v>
      </x:c>
      <x:c r="B6" s="40" t="str">
        <x:v>&lt;= 15</x:v>
      </x:c>
      <x:c r="C6" s="40" t="str">
        <x:v>[N]</x:v>
      </x:c>
      <x:c r="D6" s="40" t="str">
        <x:v>Pendiente</x:v>
      </x:c>
      <x:c r="E6" s="40" t="str">
        <x:v>[Link]</x:v>
      </x:c>
      <x:c r="F6" s="40" t="str">
        <x:v>Tech Lead</x:v>
      </x:c>
      <x:c r="G6" s="40" t="str">
        <x:v>No</x:v>
      </x:c>
      <x:c r="H6" s="40" t="str"/>
    </x:row>
    <x:row r="7">
      <x:c r="A7" s="40" t="str">
        <x:v>CVEs High/Critical</x:v>
      </x:c>
      <x:c r="B7" s="40" t="str">
        <x:v>0</x:v>
      </x:c>
      <x:c r="C7" s="40" t="str">
        <x:v>[N]</x:v>
      </x:c>
      <x:c r="D7" s="40" t="str">
        <x:v>Pendiente</x:v>
      </x:c>
      <x:c r="E7" s="40" t="str">
        <x:v>[Link]</x:v>
      </x:c>
      <x:c r="F7" s="40" t="str">
        <x:v>Security / DevOps</x:v>
      </x:c>
      <x:c r="G7" s="40" t="str">
        <x:v>Sí</x:v>
      </x:c>
      <x:c r="H7" s="40" t="str">
        <x:v>Bloquea release productivo</x:v>
      </x:c>
    </x:row>
    <x:row r="8">
      <x:c r="A8" s="40" t="str">
        <x:v>Ratio deuda técnica</x:v>
      </x:c>
      <x:c r="B8" s="40" t="str">
        <x:v>&lt; 5%</x:v>
      </x:c>
      <x:c r="C8" s="40" t="str">
        <x:v>[X%]</x:v>
      </x:c>
      <x:c r="D8" s="40" t="str">
        <x:v>Pendiente</x:v>
      </x:c>
      <x:c r="E8" s="40" t="str">
        <x:v>[Link]</x:v>
      </x:c>
      <x:c r="F8" s="40" t="str">
        <x:v>Tech Lead</x:v>
      </x:c>
      <x:c r="G8" s="40" t="str">
        <x:v>No</x:v>
      </x:c>
      <x:c r="H8" s="40" t="str"/>
    </x:row>
    <x:row r="9">
      <x:c r="A9" s="40" t="str">
        <x:v>Distribución testing</x:v>
      </x:c>
      <x:c r="B9" s="40" t="str">
        <x:v>Objetivo 70/20/10</x:v>
      </x:c>
      <x:c r="C9" s="40" t="str">
        <x:v>[Actual]</x:v>
      </x:c>
      <x:c r="D9" s="40" t="str">
        <x:v>Pendiente</x:v>
      </x:c>
      <x:c r="E9" s="40" t="str">
        <x:v>[Link]</x:v>
      </x:c>
      <x:c r="F9" s="40" t="str">
        <x:v>QA Lead</x:v>
      </x:c>
      <x:c r="G9" s="40" t="str">
        <x:v>No</x:v>
      </x:c>
      <x:c r="H9" s="40" t="str">
        <x:v>No sustituye cobertura</x:v>
      </x:c>
    </x:row>
    <x:row r="10">
      <x:c r="A10" s="40" t="str">
        <x:v>Evidencia observabilidad</x:v>
      </x:c>
      <x:c r="B10" s="40" t="str">
        <x:v>Requerida</x:v>
      </x:c>
      <x:c r="C10" s="40" t="str">
        <x:v>[Lista/Pendiente]</x:v>
      </x:c>
      <x:c r="D10" s="40" t="str">
        <x:v>Pendiente</x:v>
      </x:c>
      <x:c r="E10" s="40" t="str">
        <x:v>[Link]</x:v>
      </x:c>
      <x:c r="F10" s="40" t="str">
        <x:v>SRE Lead</x:v>
      </x:c>
      <x:c r="G10" s="40" t="str">
        <x:v>Sí</x:v>
      </x:c>
      <x:c r="H10" s="40" t="str">
        <x:v>Bloquea Producción Activa si falta</x:v>
      </x:c>
    </x:row>
    <x:row r="11">
      <x:c r="A11" s="40" t="str">
        <x:v>Rollback validado</x:v>
      </x:c>
      <x:c r="B11" s="40" t="str">
        <x:v>Requerido</x:v>
      </x:c>
      <x:c r="C11" s="40" t="str">
        <x:v>[Sí/No]</x:v>
      </x:c>
      <x:c r="D11" s="40" t="str">
        <x:v>Pendiente</x:v>
      </x:c>
      <x:c r="E11" s="40" t="str">
        <x:v>[Link]</x:v>
      </x:c>
      <x:c r="F11" s="40" t="str">
        <x:v>SRE Lead</x:v>
      </x:c>
      <x:c r="G11" s="40" t="str">
        <x:v>Sí</x:v>
      </x:c>
      <x:c r="H11" s="40" t="str">
        <x:v>Bloquea Producción Activa si falta</x:v>
      </x:c>
    </x:row>
    <x:row r="12">
      <x:c r="G12" t="str">
        <x:v>Readiness calidad</x:v>
      </x:c>
      <x:c r="H12" s="44" t="n">
        <x:f>IFERROR(COUNTIF(D5:D11,"Listo")/COUNTA(D5:D11),0)</x:f>
        <x:v>0</x:v>
      </x:c>
    </x:row>
    <x:row r="13">
      <x:c r="G13" t="str">
        <x:v>Estado</x:v>
      </x:c>
      <x:c r="H13" t="str">
        <x:f>IF(COUNTIF(D5:D11,"Bloqueado")&gt;0,"Bloqueado",IF(COUNTIF(D5:D11,"En Riesgo")&gt;0,"En Riesgo",IF(H12&gt;=0.9,"Listo",IF(H12&gt;=0.6,"Observación","Pendiente"))))</x:f>
        <x:v>Pendiente</x:v>
      </x:c>
    </x:row>
  </x:sheetData>
  <x:mergeCells>
    <x:mergeCell ref="A1:H1"/>
    <x:mergeCell ref="A2:H2"/>
  </x:mergeCells>
  <x:conditionalFormatting sqref="D5:D11">
    <x:cfRule type="expression" dxfId="12" priority="1">
      <x:formula>OR(D5="Listo",D5="Asignado",D5="Resuelto",D5="Cerrado")</x:formula>
    </x:cfRule>
    <x:cfRule type="expression" dxfId="13" priority="2">
      <x:formula>OR(D5="Observación",D5="Parcial",D5="En Progreso")</x:formula>
    </x:cfRule>
    <x:cfRule type="expression" dxfId="14" priority="3">
      <x:formula>OR(D5="En Riesgo",D5="Faltante")</x:formula>
    </x:cfRule>
    <x:cfRule type="expression" dxfId="15" priority="4">
      <x:formula>OR(D5="Bloqueado",D5="Abierto")</x:formula>
    </x:cfRule>
  </x:conditionalFormatting>
  <x:dataValidations count="2">
    <x:dataValidation type="list" sqref="D5:D11">
      <x:formula1>"Listo,En Curso,Observación,En Riesgo,Bloqueado,Pendiente,N/A"</x:formula1>
    </x:dataValidation>
    <x:dataValidation type="list" sqref="G5:G11">
      <x:formula1>"Sí,No,N/A"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32" hidden="0" customWidth="1"/>
    <x:col min="4" max="4" width="16" hidden="0" customWidth="1"/>
    <x:col min="5" max="5" width="20" hidden="0" customWidth="1"/>
    <x:col min="6" max="6" width="34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8" customHeight="1">
      <x:c r="A1" s="5" t="str">
        <x:v>Riesgos, Decisiones y Escalamientos</x:v>
      </x:c>
      <x:c r="B1" s="5"/>
      <x:c r="C1" s="5"/>
      <x:c r="D1" s="5"/>
      <x:c r="E1" s="5"/>
      <x:c r="F1" s="5"/>
      <x:c r="G1" s="5"/>
      <x:c r="H1" s="5"/>
    </x:row>
    <x:row r="2" ht="34" customHeight="1">
      <x:c r="A2" s="13" t="str">
        <x:v>Registrar bloqueos, decisiones requeridas, owners, acciones, fechas y estado.</x:v>
      </x:c>
      <x:c r="B2" s="13"/>
      <x:c r="C2" s="13"/>
      <x:c r="D2" s="13"/>
      <x:c r="E2" s="13"/>
      <x:c r="F2" s="13"/>
      <x:c r="G2" s="13"/>
      <x:c r="H2" s="13"/>
    </x:row>
    <x:row r="4">
      <x:c r="A4" s="39" t="str">
        <x:v>ID</x:v>
      </x:c>
      <x:c r="B4" s="39" t="str">
        <x:v>Riesgo / Decisión</x:v>
      </x:c>
      <x:c r="C4" s="39" t="str">
        <x:v>Impacto</x:v>
      </x:c>
      <x:c r="D4" s="39" t="str">
        <x:v>Severidad</x:v>
      </x:c>
      <x:c r="E4" s="39" t="str">
        <x:v>Owner</x:v>
      </x:c>
      <x:c r="F4" s="39" t="str">
        <x:v>Acción requerida</x:v>
      </x:c>
      <x:c r="G4" s="39" t="str">
        <x:v>Fecha límite</x:v>
      </x:c>
      <x:c r="H4" s="39" t="str">
        <x:v>Escalamiento</x:v>
      </x:c>
      <x:c r="I4" s="39" t="str">
        <x:v>Estado</x:v>
      </x:c>
    </x:row>
    <x:row r="5">
      <x:c r="A5" s="40" t="str">
        <x:v>R-001</x:v>
      </x:c>
      <x:c r="B5" s="40" t="str">
        <x:v>[Riesgo o decisión]</x:v>
      </x:c>
      <x:c r="C5" s="40" t="str">
        <x:v>[Impacto]</x:v>
      </x:c>
      <x:c r="D5" s="40" t="str">
        <x:v>Alta</x:v>
      </x:c>
      <x:c r="E5" s="40" t="str">
        <x:v>[Nombre]</x:v>
      </x:c>
      <x:c r="F5" s="40" t="str">
        <x:v>[Acción]</x:v>
      </x:c>
      <x:c r="G5" s="40" t="str">
        <x:v>[Fecha]</x:v>
      </x:c>
      <x:c r="H5" s="40" t="str">
        <x:v>Sí</x:v>
      </x:c>
      <x:c r="I5" s="40" t="str">
        <x:v>Abierto</x:v>
      </x:c>
    </x:row>
    <x:row r="6">
      <x:c r="A6" s="40" t="str">
        <x:v>R-002</x:v>
      </x:c>
      <x:c r="B6" s="40" t="str">
        <x:v>[Riesgo o decisión]</x:v>
      </x:c>
      <x:c r="C6" s="40" t="str">
        <x:v>[Impacto]</x:v>
      </x:c>
      <x:c r="D6" s="40" t="str">
        <x:v>Media</x:v>
      </x:c>
      <x:c r="E6" s="40" t="str">
        <x:v>[Nombre]</x:v>
      </x:c>
      <x:c r="F6" s="40" t="str">
        <x:v>[Acción]</x:v>
      </x:c>
      <x:c r="G6" s="40" t="str">
        <x:v>[Fecha]</x:v>
      </x:c>
      <x:c r="H6" s="40" t="str">
        <x:v>No</x:v>
      </x:c>
      <x:c r="I6" s="40" t="str">
        <x:v>Abierto</x:v>
      </x:c>
    </x:row>
    <x:row r="7">
      <x:c r="A7" s="40" t="str"/>
      <x:c r="B7" s="40" t="str"/>
      <x:c r="C7" s="40" t="str"/>
      <x:c r="D7" s="40" t="str"/>
      <x:c r="E7" s="40" t="str"/>
      <x:c r="F7" s="40" t="str"/>
      <x:c r="G7" s="40" t="str"/>
      <x:c r="H7" s="40" t="str"/>
      <x:c r="I7" s="40" t="str"/>
    </x:row>
    <x:row r="8">
      <x:c r="A8" s="40" t="str"/>
      <x:c r="B8" s="40" t="str"/>
      <x:c r="C8" s="40" t="str"/>
      <x:c r="D8" s="40" t="str"/>
      <x:c r="E8" s="40" t="str"/>
      <x:c r="F8" s="40" t="str"/>
      <x:c r="G8" s="40" t="str"/>
      <x:c r="H8" s="40" t="str"/>
      <x:c r="I8" s="40" t="str"/>
    </x:row>
    <x:row r="9">
      <x:c r="A9" s="40" t="str"/>
      <x:c r="B9" s="40" t="str"/>
      <x:c r="C9" s="40" t="str"/>
      <x:c r="D9" s="40" t="str"/>
      <x:c r="E9" s="40" t="str"/>
      <x:c r="F9" s="40" t="str"/>
      <x:c r="G9" s="40" t="str"/>
      <x:c r="H9" s="40" t="str"/>
      <x:c r="I9" s="40" t="str"/>
    </x:row>
    <x:row r="10">
      <x:c r="A10" s="40" t="str"/>
      <x:c r="B10" s="40" t="str"/>
      <x:c r="C10" s="40" t="str"/>
      <x:c r="D10" s="40" t="str"/>
      <x:c r="E10" s="40" t="str"/>
      <x:c r="F10" s="40" t="str"/>
      <x:c r="G10" s="40" t="str"/>
      <x:c r="H10" s="40" t="str"/>
      <x:c r="I10" s="40" t="str"/>
    </x:row>
    <x:row r="11">
      <x:c r="A11" s="40" t="str"/>
      <x:c r="B11" s="40" t="str"/>
      <x:c r="C11" s="40" t="str"/>
      <x:c r="D11" s="40" t="str"/>
      <x:c r="E11" s="40" t="str"/>
      <x:c r="F11" s="40" t="str"/>
      <x:c r="G11" s="40" t="str"/>
      <x:c r="H11" s="40" t="str"/>
      <x:c r="I11" s="40" t="str"/>
    </x:row>
    <x:row r="12">
      <x:c r="A12" s="40" t="str"/>
      <x:c r="B12" s="40" t="str"/>
      <x:c r="C12" s="40" t="str"/>
      <x:c r="D12" s="40" t="str"/>
      <x:c r="E12" s="40" t="str"/>
      <x:c r="F12" s="40" t="str"/>
      <x:c r="G12" s="40" t="str">
        <x:v>Riesgos abiertos</x:v>
      </x:c>
      <x:c r="H12" s="40" t="n">
        <x:f>COUNTIF(I5:I14,"Abierto")+COUNTIF(I5:I14,"En Progreso")</x:f>
        <x:v>2</x:v>
      </x:c>
      <x:c r="I12" s="40" t="str"/>
    </x:row>
    <x:row r="13">
      <x:c r="A13" s="40" t="str"/>
      <x:c r="B13" s="40" t="str"/>
      <x:c r="C13" s="40" t="str"/>
      <x:c r="D13" s="40" t="str"/>
      <x:c r="E13" s="40" t="str"/>
      <x:c r="F13" s="40" t="str"/>
      <x:c r="G13" s="40" t="str">
        <x:v>Estado</x:v>
      </x:c>
      <x:c r="H13" s="40" t="str">
        <x:f>IF(COUNTIF(D5:D14,"Crítica")&gt;0,"Bloqueado",IF(COUNTIF(D5:D14,"Alta")&gt;0,"En Riesgo",IF(H12&gt;0,"Observación","Listo")))</x:f>
        <x:v>En Riesgo</x:v>
      </x:c>
      <x:c r="I13" s="40" t="str"/>
    </x:row>
    <x:row r="14">
      <x:c r="A14" s="40" t="str"/>
      <x:c r="B14" s="40" t="str"/>
      <x:c r="C14" s="40" t="str"/>
      <x:c r="D14" s="40" t="str"/>
      <x:c r="E14" s="40" t="str"/>
      <x:c r="F14" s="40" t="str"/>
      <x:c r="G14" s="40" t="str"/>
      <x:c r="H14" s="40" t="str"/>
      <x:c r="I14" s="40" t="str"/>
    </x:row>
  </x:sheetData>
  <x:mergeCells>
    <x:mergeCell ref="A1:H1"/>
    <x:mergeCell ref="A2:H2"/>
  </x:mergeCells>
  <x:conditionalFormatting sqref="I5:I14">
    <x:cfRule type="expression" dxfId="16" priority="1">
      <x:formula>OR(I5="Listo",I5="Asignado",I5="Resuelto",I5="Cerrado")</x:formula>
    </x:cfRule>
    <x:cfRule type="expression" dxfId="17" priority="2">
      <x:formula>OR(I5="Observación",I5="Parcial",I5="En Progreso")</x:formula>
    </x:cfRule>
    <x:cfRule type="expression" dxfId="18" priority="3">
      <x:formula>OR(I5="En Riesgo",I5="Faltante")</x:formula>
    </x:cfRule>
    <x:cfRule type="expression" dxfId="19" priority="4">
      <x:formula>OR(I5="Bloqueado",I5="Abierto")</x:formula>
    </x:cfRule>
  </x:conditionalFormatting>
  <x:dataValidations count="3">
    <x:dataValidation type="list" sqref="D5:D14">
      <x:formula1>"Baja,Media,Alta,Crítica"</x:formula1>
    </x:dataValidation>
    <x:dataValidation type="list" sqref="H5:H14">
      <x:formula1>"Sí,No,N/A"</x:formula1>
    </x:dataValidation>
    <x:dataValidation type="list" sqref="I5:I14">
      <x:formula1>"Abierto,En Progreso,Resuelto,Cerrado,N/A"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20" hidden="0" customWidth="1"/>
    <x:col min="4" max="4" width="36" hidden="0" customWidth="1"/>
    <x:col min="5" max="5" width="22" hidden="0" customWidth="1"/>
    <x:col min="6" max="6" width="18" hidden="0" customWidth="1"/>
    <x:col min="7" max="7" width="16" hidden="0" customWidth="1"/>
    <x:col min="8" max="8" width="36" hidden="0" customWidth="1"/>
  </x:cols>
  <x:sheetData>
    <x:row r="1" ht="28" customHeight="1">
      <x:c r="A1" s="5" t="str">
        <x:v>Action Log y Cadencia de Seguimiento</x:v>
      </x:c>
      <x:c r="B1" s="5"/>
      <x:c r="C1" s="5"/>
      <x:c r="D1" s="5"/>
      <x:c r="E1" s="5"/>
      <x:c r="F1" s="5"/>
      <x:c r="G1" s="5"/>
      <x:c r="H1" s="5"/>
    </x:row>
    <x:row r="2" ht="34" customHeight="1">
      <x:c r="A2" s="13" t="str">
        <x:v>Registrar compromisos de la mesa de trabajo y seguimiento hasta gate review.</x:v>
      </x:c>
      <x:c r="B2" s="13"/>
      <x:c r="C2" s="13"/>
      <x:c r="D2" s="13"/>
      <x:c r="E2" s="13"/>
      <x:c r="F2" s="13"/>
      <x:c r="G2" s="13"/>
      <x:c r="H2" s="13"/>
    </x:row>
    <x:row r="4">
      <x:c r="A4" s="39" t="str">
        <x:v>ID</x:v>
      </x:c>
      <x:c r="B4" s="39" t="str">
        <x:v>Fecha</x:v>
      </x:c>
      <x:c r="C4" s="39" t="str">
        <x:v>Tema</x:v>
      </x:c>
      <x:c r="D4" s="39" t="str">
        <x:v>Acción</x:v>
      </x:c>
      <x:c r="E4" s="39" t="str">
        <x:v>Owner</x:v>
      </x:c>
      <x:c r="F4" s="39" t="str">
        <x:v>Fecha compromiso</x:v>
      </x:c>
      <x:c r="G4" s="39" t="str">
        <x:v>Estado</x:v>
      </x:c>
      <x:c r="H4" s="39" t="str">
        <x:v>Notas</x:v>
      </x:c>
    </x:row>
    <x:row r="5">
      <x:c r="A5" s="40" t="str">
        <x:v>A-001</x:v>
      </x:c>
      <x:c r="B5" s="40" t="str">
        <x:v>[Fecha]</x:v>
      </x:c>
      <x:c r="C5" s="40" t="str">
        <x:v>RACI</x:v>
      </x:c>
      <x:c r="D5" s="40" t="str">
        <x:v>Asignar SDET nominal</x:v>
      </x:c>
      <x:c r="E5" s="40" t="str">
        <x:v>Engineering Manager</x:v>
      </x:c>
      <x:c r="F5" s="40" t="str">
        <x:v>[Fecha]</x:v>
      </x:c>
      <x:c r="G5" s="40" t="str">
        <x:v>Abierto</x:v>
      </x:c>
      <x:c r="H5" s="40" t="str"/>
    </x:row>
    <x:row r="6">
      <x:c r="A6" s="40" t="str">
        <x:v>A-002</x:v>
      </x:c>
      <x:c r="B6" s="40" t="str">
        <x:v>[Fecha]</x:v>
      </x:c>
      <x:c r="C6" s="40" t="str">
        <x:v>Artefactos</x:v>
      </x:c>
      <x:c r="D6" s="40" t="str">
        <x:v>Completar Test Summary Report</x:v>
      </x:c>
      <x:c r="E6" s="40" t="str">
        <x:v>QA Lead</x:v>
      </x:c>
      <x:c r="F6" s="40" t="str">
        <x:v>[Fecha]</x:v>
      </x:c>
      <x:c r="G6" s="40" t="str">
        <x:v>Abierto</x:v>
      </x:c>
      <x:c r="H6" s="40" t="str"/>
    </x:row>
    <x:row r="7">
      <x:c r="A7" s="40" t="str">
        <x:v>A-003</x:v>
      </x:c>
      <x:c r="B7" s="40" t="str">
        <x:v>[Fecha]</x:v>
      </x:c>
      <x:c r="C7" s="40" t="str">
        <x:v>Delivery</x:v>
      </x:c>
      <x:c r="D7" s="40" t="str">
        <x:v>Validar rollback y observabilidad</x:v>
      </x:c>
      <x:c r="E7" s="40" t="str">
        <x:v>SRE Lead</x:v>
      </x:c>
      <x:c r="F7" s="40" t="str">
        <x:v>[Fecha]</x:v>
      </x:c>
      <x:c r="G7" s="40" t="str">
        <x:v>Abierto</x:v>
      </x:c>
      <x:c r="H7" s="40" t="str"/>
    </x:row>
    <x:row r="8">
      <x:c r="A8" s="40" t="str"/>
      <x:c r="B8" s="40" t="str"/>
      <x:c r="C8" s="40" t="str"/>
      <x:c r="D8" s="40" t="str"/>
      <x:c r="E8" s="40" t="str"/>
      <x:c r="F8" s="40" t="str"/>
      <x:c r="G8" s="40" t="str"/>
      <x:c r="H8" s="40" t="str"/>
    </x:row>
    <x:row r="9">
      <x:c r="A9" s="40" t="str"/>
      <x:c r="B9" s="40" t="str"/>
      <x:c r="C9" s="40" t="str"/>
      <x:c r="D9" s="40" t="str"/>
      <x:c r="E9" s="40" t="str"/>
      <x:c r="F9" s="40" t="str"/>
      <x:c r="G9" s="40" t="str"/>
      <x:c r="H9" s="40" t="str"/>
    </x:row>
    <x:row r="10">
      <x:c r="A10" s="40" t="str"/>
      <x:c r="B10" s="40" t="str"/>
      <x:c r="C10" s="40" t="str"/>
      <x:c r="D10" s="40" t="str"/>
      <x:c r="E10" s="40" t="str"/>
      <x:c r="F10" s="40" t="str"/>
      <x:c r="G10" s="40" t="str"/>
      <x:c r="H10" s="40" t="str"/>
    </x:row>
    <x:row r="11">
      <x:c r="A11" s="40" t="str"/>
      <x:c r="B11" s="40" t="str"/>
      <x:c r="C11" s="40" t="str"/>
      <x:c r="D11" s="40" t="str"/>
      <x:c r="E11" s="40" t="str"/>
      <x:c r="F11" s="40" t="str"/>
      <x:c r="G11" s="40" t="str"/>
      <x:c r="H11" s="40" t="str"/>
    </x:row>
    <x:row r="12">
      <x:c r="A12" s="40" t="str"/>
      <x:c r="B12" s="40" t="str"/>
      <x:c r="C12" s="40" t="str"/>
      <x:c r="D12" s="40" t="str"/>
      <x:c r="E12" s="40" t="str"/>
      <x:c r="F12" s="40" t="str"/>
      <x:c r="G12" s="40" t="str"/>
      <x:c r="H12" s="40" t="str"/>
    </x:row>
    <x:row r="13">
      <x:c r="A13" s="40" t="str"/>
      <x:c r="B13" s="40" t="str"/>
      <x:c r="C13" s="40" t="str"/>
      <x:c r="D13" s="40" t="str"/>
      <x:c r="E13" s="40" t="str"/>
      <x:c r="F13" s="40" t="str"/>
      <x:c r="G13" s="40" t="str"/>
      <x:c r="H13" s="40" t="str"/>
    </x:row>
    <x:row r="14">
      <x:c r="A14" s="40" t="str"/>
      <x:c r="B14" s="40" t="str"/>
      <x:c r="C14" s="40" t="str"/>
      <x:c r="D14" s="40" t="str"/>
      <x:c r="E14" s="40" t="str"/>
      <x:c r="F14" s="40" t="str"/>
      <x:c r="G14" s="40" t="str"/>
      <x:c r="H14" s="40" t="str"/>
    </x:row>
    <x:row r="15">
      <x:c r="A15" s="40" t="str"/>
      <x:c r="B15" s="40" t="str"/>
      <x:c r="C15" s="40" t="str"/>
      <x:c r="D15" s="40" t="str"/>
      <x:c r="E15" s="40" t="str"/>
      <x:c r="F15" s="40" t="str"/>
      <x:c r="G15" s="40" t="str"/>
      <x:c r="H15" s="40" t="str"/>
    </x:row>
    <x:row r="16">
      <x:c r="A16" s="40" t="str"/>
      <x:c r="B16" s="40" t="str"/>
      <x:c r="C16" s="40" t="str"/>
      <x:c r="D16" s="40" t="str"/>
      <x:c r="E16" s="40" t="str"/>
      <x:c r="F16" s="40" t="str"/>
      <x:c r="G16" s="40" t="str"/>
      <x:c r="H16" s="40" t="str"/>
    </x:row>
    <x:row r="17">
      <x:c r="A17" s="40" t="str"/>
      <x:c r="B17" s="40" t="str"/>
      <x:c r="C17" s="40" t="str"/>
      <x:c r="D17" s="40" t="str"/>
      <x:c r="E17" s="40" t="str"/>
      <x:c r="F17" s="40" t="str"/>
      <x:c r="G17" s="40" t="str"/>
      <x:c r="H17" s="40" t="str"/>
    </x:row>
    <x:row r="18">
      <x:c r="A18" s="40" t="str"/>
      <x:c r="B18" s="40" t="str"/>
      <x:c r="C18" s="40" t="str"/>
      <x:c r="D18" s="40" t="str"/>
      <x:c r="E18" s="40" t="str"/>
      <x:c r="F18" s="40" t="str"/>
      <x:c r="G18" s="40" t="str"/>
      <x:c r="H18" s="40" t="str"/>
    </x:row>
    <x:row r="19">
      <x:c r="A19" s="40" t="str"/>
      <x:c r="B19" s="40" t="str"/>
      <x:c r="C19" s="40" t="str"/>
      <x:c r="D19" s="40" t="str"/>
      <x:c r="E19" s="40" t="str"/>
      <x:c r="F19" s="40" t="str"/>
      <x:c r="G19" s="40" t="str"/>
      <x:c r="H19" s="40" t="str"/>
    </x:row>
    <x:row r="20">
      <x:c r="A20" s="40" t="str"/>
      <x:c r="B20" s="40" t="str"/>
      <x:c r="C20" s="40" t="str"/>
      <x:c r="D20" s="40" t="str"/>
      <x:c r="E20" s="40" t="str"/>
      <x:c r="F20" s="40" t="str"/>
      <x:c r="G20" s="40" t="str"/>
      <x:c r="H20" s="40" t="str"/>
    </x:row>
    <x:row r="21">
      <x:c r="A21" s="40" t="str"/>
      <x:c r="B21" s="40" t="str"/>
      <x:c r="C21" s="40" t="str"/>
      <x:c r="D21" s="40" t="str"/>
      <x:c r="E21" s="40" t="str"/>
      <x:c r="F21" s="40" t="str"/>
      <x:c r="G21" s="40" t="str"/>
      <x:c r="H21" s="40" t="str"/>
    </x:row>
    <x:row r="22">
      <x:c r="A22" s="40" t="str"/>
      <x:c r="B22" s="40" t="str"/>
      <x:c r="C22" s="40" t="str"/>
      <x:c r="D22" s="40" t="str"/>
      <x:c r="E22" s="40" t="str"/>
      <x:c r="F22" s="40" t="str"/>
      <x:c r="G22" s="40" t="str"/>
      <x:c r="H22" s="40" t="str"/>
    </x:row>
    <x:row r="23">
      <x:c r="A23" s="40" t="str"/>
      <x:c r="B23" s="40" t="str"/>
      <x:c r="C23" s="40" t="str"/>
      <x:c r="D23" s="40" t="str"/>
      <x:c r="E23" s="40" t="str"/>
      <x:c r="F23" s="40" t="str"/>
      <x:c r="G23" s="40" t="str"/>
      <x:c r="H23" s="40" t="str"/>
    </x:row>
    <x:row r="24">
      <x:c r="A24" s="40" t="str"/>
      <x:c r="B24" s="40" t="str"/>
      <x:c r="C24" s="40" t="str"/>
      <x:c r="D24" s="40" t="str"/>
      <x:c r="E24" s="40" t="str"/>
      <x:c r="F24" s="40" t="str"/>
      <x:c r="G24" s="40" t="str"/>
      <x:c r="H24" s="40" t="str"/>
    </x:row>
  </x:sheetData>
  <x:mergeCells>
    <x:mergeCell ref="A1:H1"/>
    <x:mergeCell ref="A2:H2"/>
  </x:mergeCells>
  <x:conditionalFormatting sqref="G5:G24">
    <x:cfRule type="expression" dxfId="20" priority="1">
      <x:formula>OR(G5="Listo",G5="Asignado",G5="Resuelto",G5="Cerrado")</x:formula>
    </x:cfRule>
    <x:cfRule type="expression" dxfId="21" priority="2">
      <x:formula>OR(G5="Observación",G5="Parcial",G5="En Progreso")</x:formula>
    </x:cfRule>
    <x:cfRule type="expression" dxfId="22" priority="3">
      <x:formula>OR(G5="En Riesgo",G5="Faltante")</x:formula>
    </x:cfRule>
    <x:cfRule type="expression" dxfId="23" priority="4">
      <x:formula>OR(G5="Bloqueado",G5="Abierto")</x:formula>
    </x:cfRule>
  </x:conditionalFormatting>
  <x:dataValidations count="1">
    <x:dataValidation type="list" sqref="G5:G24">
      <x:formula1>"Abierto,En Progreso,Resuelto,Cerrado,Bloqueado"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38" hidden="0" customWidth="1"/>
    <x:col min="4" max="4" width="38" hidden="0" customWidth="1"/>
  </x:cols>
  <x:sheetData>
    <x:row r="1" ht="28" customHeight="1">
      <x:c r="A1" s="5" t="str">
        <x:v>Evolith SDLC Workshop Workbook</x:v>
      </x:c>
      <x:c r="B1" s="5"/>
      <x:c r="C1" s="5"/>
      <x:c r="D1" s="5"/>
      <x:c r="E1" s="5"/>
      <x:c r="F1" s="5"/>
      <x:c r="G1" s="5"/>
      <x:c r="H1" s="5"/>
    </x:row>
    <x:row r="2" ht="34" customHeight="1">
      <x:c r="A2" s="13" t="str">
        <x:v>English companion: define phase applicability, roles, nominal RACI assignments, artifacts, quality gates and executive scorecard tracking.</x:v>
      </x:c>
      <x:c r="B2" s="13"/>
      <x:c r="C2" s="13"/>
      <x:c r="D2" s="13"/>
      <x:c r="E2" s="13"/>
      <x:c r="F2" s="13"/>
      <x:c r="G2" s="13"/>
      <x:c r="H2" s="13"/>
    </x:row>
    <x:row r="4">
      <x:c r="A4" s="39" t="str">
        <x:v>Session</x:v>
      </x:c>
      <x:c r="B4" s="39" t="str">
        <x:v>Objective</x:v>
      </x:c>
      <x:c r="C4" s="39" t="str">
        <x:v>Suggested participants</x:v>
      </x:c>
      <x:c r="D4" s="39" t="str">
        <x:v>Expected result</x:v>
      </x:c>
    </x:row>
    <x:row r="5">
      <x:c r="A5" s="40" t="str">
        <x:v>1. Executive alignment</x:v>
      </x:c>
      <x:c r="B5" s="40" t="str">
        <x:v>Confirm objectives, scope, constraints and adoption appetite.</x:v>
      </x:c>
      <x:c r="C5" s="40" t="str">
        <x:v>Sponsor, Technology Director, Product, Architecture</x:v>
      </x:c>
      <x:c r="D5" s="40" t="str">
        <x:v>Adoption objectives and decision criteria.</x:v>
      </x:c>
    </x:row>
    <x:row r="6">
      <x:c r="A6" s="40" t="str">
        <x:v>2. Phase scoping</x:v>
      </x:c>
      <x:c r="B6" s="40" t="str">
        <x:v>Define which SDLC phases apply, are adapted, deferred or N/A.</x:v>
      </x:c>
      <x:c r="C6" s="40" t="str">
        <x:v>Architecture, Engineering, Product, QA, SRE</x:v>
      </x:c>
      <x:c r="D6" s="40" t="str">
        <x:v>Phase applicability matrix.</x:v>
      </x:c>
    </x:row>
    <x:row r="7">
      <x:c r="A7" s="40" t="str">
        <x:v>3. Nominal RACI mapping</x:v>
      </x:c>
      <x:c r="B7" s="40" t="str">
        <x:v>Assign real employees to Evolith profiles and responsibilities.</x:v>
      </x:c>
      <x:c r="C7" s="40" t="str">
        <x:v>Functional leaders and managers</x:v>
      </x:c>
      <x:c r="D7" s="40" t="str">
        <x:v>Named RACI and visible gaps.</x:v>
      </x:c>
    </x:row>
    <x:row r="8">
      <x:c r="A8" s="40" t="str">
        <x:v>4. Artifact selection</x:v>
      </x:c>
      <x:c r="B8" s="40" t="str">
        <x:v>Decide which artifacts are required, optional or conditional.</x:v>
      </x:c>
      <x:c r="C8" s="40" t="str">
        <x:v>Architecture, QA, DevOps, Product</x:v>
      </x:c>
      <x:c r="D8" s="40" t="str">
        <x:v>Artifact adoption register.</x:v>
      </x:c>
    </x:row>
    <x:row r="9">
      <x:c r="A9" s="40" t="str">
        <x:v>5. Executive tracking</x:v>
      </x:c>
      <x:c r="B9" s="40" t="str">
        <x:v>Configure scorecard, cadence, actions, risks and decisions.</x:v>
      </x:c>
      <x:c r="C9" s="40" t="str">
        <x:v>Technology Director, Delivery Owner, QA Lead, SRE Lead</x:v>
      </x:c>
      <x:c r="D9" s="40" t="str">
        <x:v>Executive scorecard and action log.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35" hidden="0" customWidth="1"/>
    <x:col min="3" max="3" width="35" hidden="0" customWidth="1"/>
  </x:cols>
  <x:sheetData>
    <x:row r="1" ht="28" customHeight="1">
      <x:c r="A1" s="5" t="str">
        <x:v>Evolith SDLC Executive Scorecard</x:v>
      </x:c>
      <x:c r="B1" s="5"/>
      <x:c r="C1" s="5"/>
      <x:c r="D1" s="5"/>
      <x:c r="E1" s="5"/>
      <x:c r="F1" s="5"/>
      <x:c r="G1" s="5"/>
      <x:c r="H1" s="5"/>
    </x:row>
    <x:row r="2" ht="34" customHeight="1">
      <x:c r="A2" s="13" t="str">
        <x:v>Leadership control panel for phase readiness, artifact evidence, RACI, quality gates, risks and executive decision.</x:v>
      </x:c>
      <x:c r="B2" s="13"/>
      <x:c r="C2" s="13"/>
      <x:c r="D2" s="13"/>
      <x:c r="E2" s="13"/>
      <x:c r="F2" s="13"/>
      <x:c r="G2" s="13"/>
      <x:c r="H2" s="13"/>
    </x:row>
    <x:row r="4">
      <x:c r="A4" s="13" t="str">
        <x:v>Use this sheet as a bilingual companion to 01_ES_Scorecard. Core workbook operation is maintained in Spanish sheets.</x:v>
      </x:c>
      <x:c r="B4" s="13"/>
      <x:c r="C4" s="13"/>
      <x:c r="D4" s="13"/>
      <x:c r="E4" s="13"/>
      <x:c r="F4" s="13"/>
      <x:c r="G4" s="13"/>
      <x:c r="H4" s="13"/>
    </x:row>
    <x:row r="6">
      <x:c r="A6" s="39" t="str">
        <x:v>Section</x:v>
      </x:c>
      <x:c r="B6" s="39" t="str">
        <x:v>What to register</x:v>
      </x:c>
      <x:c r="C6" s="39" t="str">
        <x:v>Source sheet</x:v>
      </x:c>
    </x:row>
    <x:row r="7">
      <x:c r="A7" s="40" t="str">
        <x:v>Release Identity</x:v>
      </x:c>
      <x:c r="B7" s="40" t="str">
        <x:v>Product, release, customer, owners, target Go-Live, decision required</x:v>
      </x:c>
      <x:c r="C7" s="40" t="str">
        <x:v>01_ES_Scorecard</x:v>
      </x:c>
    </x:row>
    <x:row r="8">
      <x:c r="A8" s="40" t="str">
        <x:v>Phase Readiness</x:v>
      </x:c>
      <x:c r="B8" s="40" t="str">
        <x:v>Applicability, gate, status, evidence, accountable and decision</x:v>
      </x:c>
      <x:c r="C8" s="40" t="str">
        <x:v>02_ES_Fases</x:v>
      </x:c>
    </x:row>
    <x:row r="9">
      <x:c r="A9" s="40" t="str">
        <x:v>Artifact Readiness</x:v>
      </x:c>
      <x:c r="B9" s="40" t="str">
        <x:v>Required/optional/conditional artifacts, owners, evidence and gaps</x:v>
      </x:c>
      <x:c r="C9" s="40" t="str">
        <x:v>04_ES_Artefactos</x:v>
      </x:c>
    </x:row>
    <x:row r="10">
      <x:c r="A10" s="40" t="str">
        <x:v>RACI Readiness</x:v>
      </x:c>
      <x:c r="B10" s="40" t="str">
        <x:v>Accountable, Responsible, Consulted, Informed and named employees</x:v>
      </x:c>
      <x:c r="C10" s="40" t="str">
        <x:v>03_ES_RACI_Nominal</x:v>
      </x:c>
    </x:row>
    <x:row r="11">
      <x:c r="A11" s="40" t="str">
        <x:v>Quality Gates</x:v>
      </x:c>
      <x:c r="B11" s="40" t="str">
        <x:v>Threshold, actual, status, evidence, owner and decision required</x:v>
      </x:c>
      <x:c r="C11" s="40" t="str">
        <x:v>05_ES_Gates_Calidad</x:v>
      </x:c>
    </x:row>
    <x:row r="12">
      <x:c r="A12" s="40" t="str">
        <x:v>Risks and Decisions</x:v>
      </x:c>
      <x:c r="B12" s="40" t="str">
        <x:v>Impact, severity, owner, action, due date and escalation</x:v>
      </x:c>
      <x:c r="C12" s="40" t="str">
        <x:v>06_ES_Riesgos_Decisiones</x:v>
      </x:c>
    </x:row>
  </x:sheetData>
  <x:mergeCells>
    <x:mergeCell ref="A1:H1"/>
    <x:mergeCell ref="A2:H2"/>
    <x:mergeCell ref="A4:H4"/>
  </x:mergeCells>
  <x:pageMargins left="0.7" right="0.7" top="0.75" bottom="0.75" header="0.3" footer="0.3"/>
</x:worksheet>
</file>