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e33d45b38734ba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Guia" sheetId="1" r:id="Re86eb534744a4d08"/>
    <x:sheet xmlns:r="http://schemas.openxmlformats.org/officeDocument/2006/relationships" name="01_Relacion" sheetId="2" r:id="R1429035a85ec4422"/>
    <x:sheet xmlns:r="http://schemas.openxmlformats.org/officeDocument/2006/relationships" name="02_Vision" sheetId="3" r:id="R5a4e56101e0a499a"/>
    <x:sheet xmlns:r="http://schemas.openxmlformats.org/officeDocument/2006/relationships" name="03_SDLC_Adopcion" sheetId="4" r:id="R47d50c90f9734754"/>
    <x:sheet xmlns:r="http://schemas.openxmlformats.org/officeDocument/2006/relationships" name="04_Arquitectura_Aplicada" sheetId="5" r:id="Rf6031aaf11dc44c7"/>
    <x:sheet xmlns:r="http://schemas.openxmlformats.org/officeDocument/2006/relationships" name="05_UMS_Sistema" sheetId="6" r:id="Rb63df67988b8422d"/>
    <x:sheet xmlns:r="http://schemas.openxmlformats.org/officeDocument/2006/relationships" name="06_MultiTenant" sheetId="7" r:id="R5281985a622645aa"/>
    <x:sheet xmlns:r="http://schemas.openxmlformats.org/officeDocument/2006/relationships" name="07_Parametrizacion" sheetId="8" r:id="Rdb6cb1702380479c"/>
    <x:sheet xmlns:r="http://schemas.openxmlformats.org/officeDocument/2006/relationships" name="08_Auth_Authorization" sheetId="9" r:id="Rc4e002cba25648bd"/>
    <x:sheet xmlns:r="http://schemas.openxmlformats.org/officeDocument/2006/relationships" name="09_Auth_Graph" sheetId="10" r:id="Rb133dd5a792e4f3d"/>
    <x:sheet xmlns:r="http://schemas.openxmlformats.org/officeDocument/2006/relationships" name="10_UI_UX" sheetId="11" r:id="Rbc10b68e0d80455b"/>
    <x:sheet xmlns:r="http://schemas.openxmlformats.org/officeDocument/2006/relationships" name="11_GAPS" sheetId="12" r:id="R71374abdcad24b27"/>
    <x:sheet xmlns:r="http://schemas.openxmlformats.org/officeDocument/2006/relationships" name="12_Plan_Adecuacion" sheetId="13" r:id="Re5bc22ce379c4503"/>
    <x:sheet xmlns:r="http://schemas.openxmlformats.org/officeDocument/2006/relationships" name="13_RACI_Hitos" sheetId="14" r:id="R03a3016bbf754a09"/>
    <x:sheet xmlns:r="http://schemas.openxmlformats.org/officeDocument/2006/relationships" name="14_Checklist_Scorecard" sheetId="15" r:id="R8dede8c3804449fe"/>
    <x:sheet xmlns:r="http://schemas.openxmlformats.org/officeDocument/2006/relationships" name="15_Referencias" sheetId="16" r:id="R1257cba438b3468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%"/>
  </x:numFmts>
  <x:fonts count="6">
    <x:font>
      <x:sz val="11"/>
      <x:name val="Carlito"/>
    </x:font>
    <x:font>
      <x:b/>
      <x:sz val="15"/>
      <x:color rgb="FFFFFF"/>
      <x:name val="Carlito"/>
    </x:font>
    <x:font>
      <x:i/>
      <x:sz val="11"/>
      <x:color rgb="334155"/>
      <x:name val="Carlito"/>
    </x:font>
    <x:font>
      <x:b/>
      <x:sz val="11"/>
      <x:color rgb="FFFFFF"/>
      <x:name val="Carlito"/>
    </x:font>
    <x:font>
      <x:b/>
      <x:sz val="11"/>
      <x:color rgb="166534"/>
      <x:name val="Carlito"/>
    </x:font>
    <x:font>
      <x:b/>
      <x:sz val="11"/>
      <x:color rgb="1D4ED8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E2E8F0"/>
      </x:patternFill>
    </x:fill>
    <x:fill>
      <x:patternFill patternType="solid">
        <x:fgColor rgb="DCFCE7"/>
      </x:patternFill>
    </x:fill>
    <x:fill>
      <x:patternFill patternType="solid">
        <x:fgColor rgb="DBEAFE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3" fillId="2" borderId="0" xfId="0" applyNumberFormat="1" applyFont="1" applyFill="1" applyBorder="1" applyAlignment="1">
      <x:alignment horizontal="center" vertical="top" wrapText="1"/>
    </x:xf>
    <x:xf numFmtId="0" fontId="4" fillId="4" borderId="0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2" borderId="1" xfId="0" applyNumberFormat="1" applyFont="1" applyFill="1" applyBorder="1" applyAlignment="1">
      <x:alignment horizontal="center" vertical="top" wrapText="1"/>
    </x:xf>
    <x:xf numFmtId="0" fontId="4" fillId="4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5" borderId="0" xfId="0" applyNumberFormat="1" applyFont="1" applyFill="1" applyBorder="1" applyAlignment="1">
      <x:alignment vertical="top" wrapText="1"/>
    </x:xf>
    <x:xf numFmtId="0" fontId="5" fillId="5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96051ad9714525" /><Relationship Type="http://schemas.openxmlformats.org/officeDocument/2006/relationships/theme" Target="/xl/theme/theme1.xml" Id="R154c0248ea3e4d08" /><Relationship Type="http://schemas.openxmlformats.org/officeDocument/2006/relationships/sharedStrings" Target="/xl/sharedStrings.xml" Id="R446c0960fd0d489f" /><Relationship Type="http://schemas.openxmlformats.org/officeDocument/2006/relationships/worksheet" Target="/xl/worksheets/sheet1.xml" Id="Re86eb534744a4d08" /><Relationship Type="http://schemas.openxmlformats.org/officeDocument/2006/relationships/worksheet" Target="/xl/worksheets/sheet2.xml" Id="R1429035a85ec4422" /><Relationship Type="http://schemas.openxmlformats.org/officeDocument/2006/relationships/worksheet" Target="/xl/worksheets/sheet3.xml" Id="R5a4e56101e0a499a" /><Relationship Type="http://schemas.openxmlformats.org/officeDocument/2006/relationships/worksheet" Target="/xl/worksheets/sheet4.xml" Id="R47d50c90f9734754" /><Relationship Type="http://schemas.openxmlformats.org/officeDocument/2006/relationships/worksheet" Target="/xl/worksheets/sheet5.xml" Id="Rf6031aaf11dc44c7" /><Relationship Type="http://schemas.openxmlformats.org/officeDocument/2006/relationships/worksheet" Target="/xl/worksheets/sheet6.xml" Id="Rb63df67988b8422d" /><Relationship Type="http://schemas.openxmlformats.org/officeDocument/2006/relationships/worksheet" Target="/xl/worksheets/sheet7.xml" Id="R5281985a622645aa" /><Relationship Type="http://schemas.openxmlformats.org/officeDocument/2006/relationships/worksheet" Target="/xl/worksheets/sheet8.xml" Id="Rdb6cb1702380479c" /><Relationship Type="http://schemas.openxmlformats.org/officeDocument/2006/relationships/worksheet" Target="/xl/worksheets/sheet9.xml" Id="Rc4e002cba25648bd" /><Relationship Type="http://schemas.openxmlformats.org/officeDocument/2006/relationships/worksheet" Target="/xl/worksheets/sheet10.xml" Id="Rb133dd5a792e4f3d" /><Relationship Type="http://schemas.openxmlformats.org/officeDocument/2006/relationships/worksheet" Target="/xl/worksheets/sheet11.xml" Id="Rbc10b68e0d80455b" /><Relationship Type="http://schemas.openxmlformats.org/officeDocument/2006/relationships/worksheet" Target="/xl/worksheets/sheet12.xml" Id="R71374abdcad24b27" /><Relationship Type="http://schemas.openxmlformats.org/officeDocument/2006/relationships/worksheet" Target="/xl/worksheets/sheet13.xml" Id="Re5bc22ce379c4503" /><Relationship Type="http://schemas.openxmlformats.org/officeDocument/2006/relationships/worksheet" Target="/xl/worksheets/sheet14.xml" Id="R03a3016bbf754a09" /><Relationship Type="http://schemas.openxmlformats.org/officeDocument/2006/relationships/worksheet" Target="/xl/worksheets/sheet15.xml" Id="R8dede8c3804449fe" /><Relationship Type="http://schemas.openxmlformats.org/officeDocument/2006/relationships/worksheet" Target="/xl/worksheets/sheet16.xml" Id="R1257cba438b3468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Workbook v4 — Evolith ARCH32 + UMS Reference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Instrumento ejecutivo y técnico para entender, validar e implementar SDLC con Evolith y UMS como caso aplicado.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Sección</x:v>
      </x:c>
      <x:c r="B4" s="47" t="str">
        <x:v>Propósito</x:v>
      </x:c>
      <x:c r="C4" s="47" t="str">
        <x:v>Cómo usarla</x:v>
      </x:c>
      <x:c r="D4" s="47" t="str">
        <x:v>Resultado esperado</x:v>
      </x:c>
      <x:c r="E4" s="45" t="str"/>
      <x:c r="F4" s="45" t="str"/>
      <x:c r="G4" s="45" t="str"/>
      <x:c r="H4" s="45" t="str"/>
      <x:c r="I4" s="45"/>
      <x:c r="J4" s="45"/>
    </x:row>
    <x:row r="5" ht="15" hidden="0" customHeight="1">
      <x:c r="A5" s="45" t="str">
        <x:v>Relación Evolith vs UMS</x:v>
      </x:c>
      <x:c r="B5" s="45" t="str">
        <x:v>Alinear conceptos</x:v>
      </x:c>
      <x:c r="C5" s="45" t="str">
        <x:v>Leer antes de cualquier sesión</x:v>
      </x:c>
      <x:c r="D5" s="45" t="str">
        <x:v>Evita confundir framework con aplicación de referencia</x:v>
      </x:c>
      <x:c r="E5" s="45"/>
      <x:c r="F5" s="45"/>
      <x:c r="G5" s="45"/>
      <x:c r="H5" s="45"/>
      <x:c r="I5" s="45"/>
      <x:c r="J5" s="45"/>
    </x:row>
    <x:row r="6" ht="15" hidden="0" customHeight="1">
      <x:c r="A6" s="45" t="str">
        <x:v>SDLC y adopción</x:v>
      </x:c>
      <x:c r="B6" s="45" t="str">
        <x:v>Definir estrategia de implementación</x:v>
      </x:c>
      <x:c r="C6" s="45" t="str">
        <x:v>Seleccionar nivel: Essential, Governed, Enterprise</x:v>
      </x:c>
      <x:c r="D6" s="45" t="str">
        <x:v>Fases y artefactos calibrados por riesgo</x:v>
      </x:c>
      <x:c r="E6" s="45"/>
      <x:c r="F6" s="45"/>
      <x:c r="G6" s="45"/>
      <x:c r="H6" s="45"/>
      <x:c r="I6" s="45"/>
      <x:c r="J6" s="45"/>
    </x:row>
    <x:row r="7" ht="15" hidden="0" customHeight="1">
      <x:c r="A7" s="45" t="str">
        <x:v>Modelo aplicado UMS</x:v>
      </x:c>
      <x:c r="B7" s="45" t="str">
        <x:v>Entender prueba real</x:v>
      </x:c>
      <x:c r="C7" s="45" t="str">
        <x:v>Revisar componentes, multi-tenancy, auth y datos</x:v>
      </x:c>
      <x:c r="D7" s="45" t="str">
        <x:v>Claridad sobre qué demuestra UMS</x:v>
      </x:c>
      <x:c r="E7" s="45"/>
      <x:c r="F7" s="45"/>
      <x:c r="G7" s="45"/>
      <x:c r="H7" s="45"/>
      <x:c r="I7" s="45"/>
      <x:c r="J7" s="45"/>
    </x:row>
    <x:row r="8" ht="15" hidden="0" customHeight="1">
      <x:c r="A8" s="45" t="str">
        <x:v>GAPS y plan</x:v>
      </x:c>
      <x:c r="B8" s="45" t="str">
        <x:v>Convertir análisis en trabajo</x:v>
      </x:c>
      <x:c r="C8" s="45" t="str">
        <x:v>Registrar brechas, responsables, fechas y riesgos</x:v>
      </x:c>
      <x:c r="D8" s="45" t="str">
        <x:v>Plan accionable</x:v>
      </x:c>
      <x:c r="E8" s="45"/>
      <x:c r="F8" s="45"/>
      <x:c r="G8" s="45"/>
      <x:c r="H8" s="45"/>
      <x:c r="I8" s="45"/>
      <x:c r="J8" s="45"/>
    </x:row>
    <x:row r="9" ht="15" hidden="0" customHeight="1">
      <x:c r="A9" s="45" t="str">
        <x:v>RACI y Scorecard</x:v>
      </x:c>
      <x:c r="B9" s="45" t="str">
        <x:v>Seguimiento ejecutivo</x:v>
      </x:c>
      <x:c r="C9" s="45" t="str">
        <x:v>Asignar personas concretas y tomar decisiones</x:v>
      </x:c>
      <x:c r="D9" s="45" t="str">
        <x:v>Estado claro y trazable</x:v>
      </x:c>
      <x:c r="E9" s="45"/>
      <x:c r="F9" s="45"/>
      <x:c r="G9" s="45"/>
      <x:c r="H9" s="45"/>
      <x:c r="I9" s="45"/>
      <x:c r="J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 ht="15" hidden="0" customHeight="1">
      <x:c r="A11" s="48" t="str">
        <x:v>Principio rector: Evolith ARCH32 es la arquitectura/framework corporativo; UMS es una aplicación empresarial real de referencia que demuestra la aplicación de Evolith.</x:v>
      </x:c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 ht="15" hidden="0" customHeight="1">
      <x:c r="A13" s="47" t="str">
        <x:v>Archivo base</x:v>
      </x:c>
      <x:c r="B13" s="47" t="str">
        <x:v>reference/governance/standards/communication/visuals/v01-executive-one-pager.es.md</x:v>
      </x:c>
      <x:c r="C13" s="45"/>
      <x:c r="D13" s="45"/>
      <x:c r="E13" s="45"/>
      <x:c r="F13" s="45"/>
      <x:c r="G13" s="45"/>
      <x:c r="H13" s="45"/>
      <x:c r="I13" s="45"/>
      <x:c r="J13" s="45"/>
    </x:row>
    <x:row r="14" ht="15" hidden="0" customHeight="1">
      <x:c r="A14" s="45" t="str">
        <x:v>PPT alineada</x:v>
      </x:c>
      <x:c r="B14" s="45" t="str">
        <x:v>evolith_arch32_ums_executive_reference_v4.pptx</x:v>
      </x:c>
      <x:c r="C14" s="45"/>
      <x:c r="D14" s="45"/>
      <x:c r="E14" s="45"/>
      <x:c r="F14" s="45"/>
      <x:c r="G14" s="45"/>
      <x:c r="H14" s="45"/>
      <x:c r="I14" s="45"/>
      <x:c r="J14" s="45"/>
    </x:row>
    <x:row r="15" ht="15" hidden="0" customHeight="1">
      <x:c r="A15" s="45" t="str">
        <x:v>Workbook</x:v>
      </x:c>
      <x:c r="B15" s="45" t="str">
        <x:v>evolith_arch32_ums_workbook_reference_v4.xlsx</x:v>
      </x:c>
      <x:c r="C15" s="45"/>
      <x:c r="D15" s="45"/>
      <x:c r="E15" s="45"/>
      <x:c r="F15" s="45"/>
      <x:c r="G15" s="45"/>
      <x:c r="H15" s="45"/>
      <x:c r="I15" s="45"/>
      <x:c r="J15" s="45"/>
    </x:row>
    <x:row r="16" ht="15" hidden="0" customHeight="1">
      <x:c r="A16" s="45" t="str">
        <x:v>Fecha</x:v>
      </x:c>
      <x:c r="B16" s="49" t="n">
        <x:v>46175</x:v>
      </x:c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  <x:mergeCell ref="A11:H1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Relación Evolith ARCH32 vs UMS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Separación conceptual obligatoria: arquitectura base corporativa vs aplicación empresarial de referencia.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Dimensión</x:v>
      </x:c>
      <x:c r="B4" s="47" t="str">
        <x:v>Evolith ARCH32</x:v>
      </x:c>
      <x:c r="C4" s="47" t="str">
        <x:v>UMS</x:v>
      </x:c>
      <x:c r="D4" s="47" t="str">
        <x:v>Regla de lectura</x:v>
      </x:c>
      <x:c r="E4" s="45"/>
      <x:c r="F4" s="45"/>
      <x:c r="G4" s="45"/>
      <x:c r="H4" s="45"/>
      <x:c r="I4" s="45"/>
      <x:c r="J4" s="45"/>
    </x:row>
    <x:row r="5" ht="15" hidden="0" customHeight="1">
      <x:c r="A5" s="45" t="str">
        <x:v>Naturaleza</x:v>
      </x:c>
      <x:c r="B5" s="45" t="str">
        <x:v>Framework, arquitectura base, estándares, patrones y gobierno técnico.</x:v>
      </x:c>
      <x:c r="C5" s="45" t="str">
        <x:v>Aplicación real corporativa/empresarial construida sobre Evolith.</x:v>
      </x:c>
      <x:c r="D5" s="45" t="str">
        <x:v>No presentar UMS como la totalidad de Evolith.</x:v>
      </x:c>
      <x:c r="E5" s="45"/>
      <x:c r="F5" s="45"/>
      <x:c r="G5" s="45"/>
      <x:c r="H5" s="45"/>
      <x:c r="I5" s="45"/>
      <x:c r="J5" s="45"/>
    </x:row>
    <x:row r="6" ht="15" hidden="0" customHeight="1">
      <x:c r="A6" s="45" t="str">
        <x:v>Propósito</x:v>
      </x:c>
      <x:c r="B6" s="45" t="str">
        <x:v>Define cómo diseñar, organizar, documentar, probar y gobernar aplicaciones empresariales.</x:v>
      </x:c>
      <x:c r="C6" s="45" t="str">
        <x:v>Demuestra en un caso real cómo aplicar esas reglas.</x:v>
      </x:c>
      <x:c r="D6" s="45" t="str">
        <x:v>UMS es prueba aplicada, no límite de la arquitectura.</x:v>
      </x:c>
      <x:c r="E6" s="45"/>
      <x:c r="F6" s="45"/>
      <x:c r="G6" s="45"/>
      <x:c r="H6" s="45"/>
      <x:c r="I6" s="45"/>
      <x:c r="J6" s="45"/>
    </x:row>
    <x:row r="7" ht="15" hidden="0" customHeight="1">
      <x:c r="A7" s="45" t="str">
        <x:v>Aplicabilidad</x:v>
      </x:c>
      <x:c r="B7" s="45" t="str">
        <x:v>Puede aplicarse a múltiples aplicaciones empresariales.</x:v>
      </x:c>
      <x:c r="C7" s="45" t="str">
        <x:v>Aplica Evolith en identidad, autorización, parametrización, seguridad y multi-tenancy.</x:v>
      </x:c>
      <x:c r="D7" s="45" t="str">
        <x:v>Extraer patrones reutilizables para otros sistemas.</x:v>
      </x:c>
      <x:c r="E7" s="45"/>
      <x:c r="F7" s="45"/>
      <x:c r="G7" s="45"/>
      <x:c r="H7" s="45"/>
      <x:c r="I7" s="45"/>
      <x:c r="J7" s="45"/>
    </x:row>
    <x:row r="8" ht="15" hidden="0" customHeight="1">
      <x:c r="A8" s="45" t="str">
        <x:v>Evidencia</x:v>
      </x:c>
      <x:c r="B8" s="45" t="str">
        <x:v>ADRs, SDLC, quality gates, artefactos, estándares, blueprints.</x:v>
      </x:c>
      <x:c r="C8" s="45" t="str">
        <x:v>Código, tests, seeds, datos, Auth Graph, UI, operaciones y trazabilidad.</x:v>
      </x:c>
      <x:c r="D8" s="45" t="str">
        <x:v>La evidencia UMS valida y retroalimenta Evolith.</x:v>
      </x:c>
      <x:c r="E8" s="45"/>
      <x:c r="F8" s="45"/>
      <x:c r="G8" s="45"/>
      <x:c r="H8" s="45"/>
      <x:c r="I8" s="45"/>
      <x:c r="J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</x:row>
    <x:row r="10" ht="15" hidden="0" customHeight="1">
      <x:c r="A10" s="56" t="str">
        <x:v>Decisión de comunicación: en presentaciones ejecutivas, usar Evolith = Las Reglas y UMS = La Prueba.</x:v>
      </x:c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  <x:mergeCell ref="A10:H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Visión ejecutiva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Problema, solución, valor y riesgos reducidos.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Área</x:v>
      </x:c>
      <x:c r="B4" s="47" t="str">
        <x:v>Mensaje ejecutivo</x:v>
      </x:c>
      <x:c r="C4" s="47" t="str">
        <x:v>Valor</x:v>
      </x:c>
      <x:c r="D4" s="47" t="str">
        <x:v>Riesgo reducido</x:v>
      </x:c>
      <x:c r="E4" s="45"/>
      <x:c r="F4" s="45"/>
      <x:c r="G4" s="45"/>
      <x:c r="H4" s="45"/>
      <x:c r="I4" s="45"/>
      <x:c r="J4" s="45"/>
    </x:row>
    <x:row r="5" ht="15" hidden="0" customHeight="1">
      <x:c r="A5" s="45" t="str">
        <x:v>Problema</x:v>
      </x:c>
      <x:c r="B5" s="45" t="str">
        <x:v>Los equipos crecen con prácticas distintas de arquitectura, testing y documentación.</x:v>
      </x:c>
      <x:c r="C5" s="45" t="str">
        <x:v>Visibilidad del problema común.</x:v>
      </x:c>
      <x:c r="D5" s="45" t="str">
        <x:v>Deuda técnica y decisiones inconsistentes.</x:v>
      </x:c>
      <x:c r="E5" s="45"/>
      <x:c r="F5" s="45"/>
      <x:c r="G5" s="45"/>
      <x:c r="H5" s="45"/>
      <x:c r="I5" s="45"/>
      <x:c r="J5" s="45"/>
    </x:row>
    <x:row r="6" ht="15" hidden="0" customHeight="1">
      <x:c r="A6" s="45" t="str">
        <x:v>Solución</x:v>
      </x:c>
      <x:c r="B6" s="45" t="str">
        <x:v>Evolith define baseline corporativa y UMS demuestra ejecución real.</x:v>
      </x:c>
      <x:c r="C6" s="45" t="str">
        <x:v>Estándares adoptables y comprobables.</x:v>
      </x:c>
      <x:c r="D6" s="45" t="str">
        <x:v>Arquitectura teórica no aplicada.</x:v>
      </x:c>
      <x:c r="E6" s="45"/>
      <x:c r="F6" s="45"/>
      <x:c r="G6" s="45"/>
      <x:c r="H6" s="45"/>
      <x:c r="I6" s="45"/>
      <x:c r="J6" s="45"/>
    </x:row>
    <x:row r="7" ht="15" hidden="0" customHeight="1">
      <x:c r="A7" s="45" t="str">
        <x:v>SDLC</x:v>
      </x:c>
      <x:c r="B7" s="45" t="str">
        <x:v>Fases, gates, artefactos, RACI y scorecard convierten delivery en evidencia.</x:v>
      </x:c>
      <x:c r="C7" s="45" t="str">
        <x:v>Mejor control ejecutivo.</x:v>
      </x:c>
      <x:c r="D7" s="45" t="str">
        <x:v>Releases inseguros o sin trazabilidad.</x:v>
      </x:c>
      <x:c r="E7" s="45"/>
      <x:c r="F7" s="45"/>
      <x:c r="G7" s="45"/>
      <x:c r="H7" s="45"/>
      <x:c r="I7" s="45"/>
      <x:c r="J7" s="45"/>
    </x:row>
    <x:row r="8" ht="15" hidden="0" customHeight="1">
      <x:c r="A8" s="45" t="str">
        <x:v>Reuso</x:v>
      </x:c>
      <x:c r="B8" s="45" t="str">
        <x:v>Los patrones probados en UMS pueden convertirse en estándares reutilizables.</x:v>
      </x:c>
      <x:c r="C8" s="45" t="str">
        <x:v>Escalamiento ordenado.</x:v>
      </x:c>
      <x:c r="D8" s="45" t="str">
        <x:v>Cada equipo reinventando soluciones.</x:v>
      </x:c>
      <x:c r="E8" s="45"/>
      <x:c r="F8" s="45"/>
      <x:c r="G8" s="45"/>
      <x:c r="H8" s="45"/>
      <x:c r="I8" s="45"/>
      <x:c r="J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</x:row>
    <x:row r="10" ht="15" hidden="0" customHeight="1">
      <x:c r="A10" s="47" t="str">
        <x:v>Beneficio</x:v>
      </x:c>
      <x:c r="B10" s="47" t="str">
        <x:v>Indicador sugerido</x:v>
      </x:c>
      <x:c r="C10" s="47" t="str">
        <x:v>Fuente de evidencia</x:v>
      </x:c>
      <x:c r="D10" s="45"/>
      <x:c r="E10" s="45"/>
      <x:c r="F10" s="45"/>
      <x:c r="G10" s="45"/>
      <x:c r="H10" s="45"/>
      <x:c r="I10" s="45"/>
      <x:c r="J10" s="45"/>
    </x:row>
    <x:row r="11" ht="15" hidden="0" customHeight="1">
      <x:c r="A11" s="45" t="str">
        <x:v>Gobierno</x:v>
      </x:c>
      <x:c r="B11" s="45" t="str">
        <x:v>% fases con owner y gate definido</x:v>
      </x:c>
      <x:c r="C11" s="45" t="str">
        <x:v>RACI / Scorecard</x:v>
      </x:c>
      <x:c r="D11" s="45"/>
      <x:c r="E11" s="45"/>
      <x:c r="F11" s="45"/>
      <x:c r="G11" s="45"/>
      <x:c r="H11" s="45"/>
      <x:c r="I11" s="45"/>
      <x:c r="J11" s="45"/>
    </x:row>
    <x:row r="12" ht="15" hidden="0" customHeight="1">
      <x:c r="A12" s="45" t="str">
        <x:v>Calidad</x:v>
      </x:c>
      <x:c r="B12" s="45" t="str">
        <x:v>% gates aprobados</x:v>
      </x:c>
      <x:c r="C12" s="45" t="str">
        <x:v>CI / Test Summary Report</x:v>
      </x:c>
      <x:c r="D12" s="45"/>
      <x:c r="E12" s="45"/>
      <x:c r="F12" s="45"/>
      <x:c r="G12" s="45"/>
      <x:c r="H12" s="45"/>
      <x:c r="I12" s="45"/>
      <x:c r="J12" s="45"/>
    </x:row>
    <x:row r="13" ht="15" hidden="0" customHeight="1">
      <x:c r="A13" s="45" t="str">
        <x:v>Operación</x:v>
      </x:c>
      <x:c r="B13" s="45" t="str">
        <x:v>% readiness operativo completo</x:v>
      </x:c>
      <x:c r="C13" s="45" t="str">
        <x:v>Release Notes / Observability</x:v>
      </x:c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Estrategia SDLC y adopción progresiva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Seleccionar nivel de adopción y fases aplicables según riesgo y madurez.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Nivel</x:v>
      </x:c>
      <x:c r="B4" s="47" t="str">
        <x:v>Uso recomendado</x:v>
      </x:c>
      <x:c r="C4" s="47" t="str">
        <x:v>Artefactos mínimos</x:v>
      </x:c>
      <x:c r="D4" s="47" t="str">
        <x:v>Se agrega</x:v>
      </x:c>
      <x:c r="E4" s="47" t="str">
        <x:v>Riesgo objetivo</x:v>
      </x:c>
      <x:c r="F4" s="47" t="str">
        <x:v>Decisión</x:v>
      </x:c>
      <x:c r="G4" s="45"/>
      <x:c r="H4" s="45"/>
      <x:c r="I4" s="45"/>
      <x:c r="J4" s="45"/>
    </x:row>
    <x:row r="5" ht="15" hidden="0" customHeight="1">
      <x:c r="A5" s="45" t="str">
        <x:v>Essential</x:v>
      </x:c>
      <x:c r="B5" s="45" t="str">
        <x:v>MVPs o equipos pequeños</x:v>
      </x:c>
      <x:c r="C5" s="45" t="str">
        <x:v>PRD, Functional Story, Technical Story, Release Notes</x:v>
      </x:c>
      <x:c r="D5" s="45" t="str">
        <x:v>N/A</x:v>
      </x:c>
      <x:c r="E5" s="45" t="str">
        <x:v>Bajo/Medio</x:v>
      </x:c>
      <x:c r="F5" s="45" t="str">
        <x:v>Adoptar mínimo viable</x:v>
      </x:c>
      <x:c r="G5" s="45"/>
      <x:c r="H5" s="45"/>
      <x:c r="I5" s="45"/>
      <x:c r="J5" s="45"/>
    </x:row>
    <x:row r="6" ht="15" hidden="0" customHeight="1">
      <x:c r="A6" s="45" t="str">
        <x:v>Governed</x:v>
      </x:c>
      <x:c r="B6" s="45" t="str">
        <x:v>Releases productivos</x:v>
      </x:c>
      <x:c r="C6" s="45" t="str">
        <x:v>Essential</x:v>
      </x:c>
      <x:c r="D6" s="45" t="str">
        <x:v>ADR, Test Summary Report, Quality Gates</x:v>
      </x:c>
      <x:c r="E6" s="45" t="str">
        <x:v>Medio/Alto</x:v>
      </x:c>
      <x:c r="F6" s="45" t="str">
        <x:v>Adoptar controles de release</x:v>
      </x:c>
      <x:c r="G6" s="45"/>
      <x:c r="H6" s="45"/>
      <x:c r="I6" s="45"/>
      <x:c r="J6" s="45"/>
    </x:row>
    <x:row r="7" ht="15" hidden="0" customHeight="1">
      <x:c r="A7" s="45" t="str">
        <x:v>Enterprise</x:v>
      </x:c>
      <x:c r="B7" s="45" t="str">
        <x:v>Multi-equipo, regulado o crítico</x:v>
      </x:c>
      <x:c r="C7" s="45" t="str">
        <x:v>Governed</x:v>
      </x:c>
      <x:c r="D7" s="45" t="str">
        <x:v>RACI nominal, Scorecard, Traceability, Operational Readiness</x:v>
      </x:c>
      <x:c r="E7" s="45" t="str">
        <x:v>Alto/Crítico</x:v>
      </x:c>
      <x:c r="F7" s="45" t="str">
        <x:v>Adoptar accountability y seguimiento ejecutivo</x:v>
      </x:c>
      <x:c r="G7" s="45"/>
      <x:c r="H7" s="45"/>
      <x:c r="I7" s="45"/>
      <x:c r="J7" s="45"/>
    </x:row>
    <x:row r="8">
      <x:c r="A8" s="45"/>
      <x:c r="B8" s="45"/>
      <x:c r="C8" s="45"/>
      <x:c r="D8" s="45"/>
      <x:c r="E8" s="45"/>
      <x:c r="F8" s="45"/>
      <x:c r="G8" s="45"/>
      <x:c r="H8" s="45"/>
      <x:c r="I8" s="45"/>
      <x:c r="J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</x:row>
    <x:row r="10" ht="15" hidden="0" customHeight="1">
      <x:c r="A10" s="47" t="str">
        <x:v>Fase</x:v>
      </x:c>
      <x:c r="B10" s="47" t="str">
        <x:v>Gate</x:v>
      </x:c>
      <x:c r="C10" s="47" t="str">
        <x:v>Pregunta ejecutiva</x:v>
      </x:c>
      <x:c r="D10" s="47" t="str">
        <x:v>Evidencia</x:v>
      </x:c>
      <x:c r="E10" s="47" t="str">
        <x:v>Owner sugerido</x:v>
      </x:c>
      <x:c r="F10" s="47" t="str">
        <x:v>Aplica</x:v>
      </x:c>
      <x:c r="G10" s="47" t="str">
        <x:v>Estado</x:v>
      </x:c>
      <x:c r="H10" s="47" t="str">
        <x:v>Comentario</x:v>
      </x:c>
      <x:c r="I10" s="45"/>
      <x:c r="J10" s="45"/>
    </x:row>
    <x:row r="11" ht="15" hidden="0" customHeight="1">
      <x:c r="A11" s="45" t="str">
        <x:v>Definir</x:v>
      </x:c>
      <x:c r="B11" s="45" t="str">
        <x:v>Business Sign-Off</x:v>
      </x:c>
      <x:c r="C11" s="45" t="str">
        <x:v>¿Qué vamos a resolver?</x:v>
      </x:c>
      <x:c r="D11" s="45" t="str">
        <x:v>PRD</x:v>
      </x:c>
      <x:c r="E11" s="45" t="str">
        <x:v>Sponsor / Product Owner</x:v>
      </x:c>
      <x:c r="F11" s="45" t="str">
        <x:v>Sí</x:v>
      </x:c>
      <x:c r="G11" s="45" t="str">
        <x:v>Pendiente</x:v>
      </x:c>
      <x:c r="H11" s="45" t="str"/>
      <x:c r="I11" s="45"/>
      <x:c r="J11" s="45"/>
    </x:row>
    <x:row r="12" ht="15" hidden="0" customHeight="1">
      <x:c r="A12" s="45" t="str">
        <x:v>Diseñar</x:v>
      </x:c>
      <x:c r="B12" s="45" t="str">
        <x:v>Design Baseline</x:v>
      </x:c>
      <x:c r="C12" s="45" t="str">
        <x:v>¿Cómo lo haremos sin romper arquitectura?</x:v>
      </x:c>
      <x:c r="D12" s="45" t="str">
        <x:v>Functional Story / ADR</x:v>
      </x:c>
      <x:c r="E12" s="45" t="str">
        <x:v>Architecture Board / Architect</x:v>
      </x:c>
      <x:c r="F12" s="45" t="str">
        <x:v>Sí</x:v>
      </x:c>
      <x:c r="G12" s="45" t="str">
        <x:v>Pendiente</x:v>
      </x:c>
      <x:c r="H12" s="45" t="str"/>
      <x:c r="I12" s="45"/>
      <x:c r="J12" s="45"/>
    </x:row>
    <x:row r="13" ht="15" hidden="0" customHeight="1">
      <x:c r="A13" s="45" t="str">
        <x:v>Construir</x:v>
      </x:c>
      <x:c r="B13" s="45" t="str">
        <x:v>Successful Build</x:v>
      </x:c>
      <x:c r="C13" s="45" t="str">
        <x:v>¿Está hecho según estándar?</x:v>
      </x:c>
      <x:c r="D13" s="45" t="str">
        <x:v>Technical Story / CI / DoD</x:v>
      </x:c>
      <x:c r="E13" s="45" t="str">
        <x:v>Tech Lead</x:v>
      </x:c>
      <x:c r="F13" s="45" t="str">
        <x:v>Sí</x:v>
      </x:c>
      <x:c r="G13" s="45" t="str">
        <x:v>Pendiente</x:v>
      </x:c>
      <x:c r="H13" s="45" t="str"/>
      <x:c r="I13" s="45"/>
      <x:c r="J13" s="45"/>
    </x:row>
    <x:row r="14" ht="15" hidden="0" customHeight="1">
      <x:c r="A14" s="45" t="str">
        <x:v>Validar</x:v>
      </x:c>
      <x:c r="B14" s="45" t="str">
        <x:v>RC Stamped</x:v>
      </x:c>
      <x:c r="C14" s="45" t="str">
        <x:v>¿Es seguro liberar?</x:v>
      </x:c>
      <x:c r="D14" s="45" t="str">
        <x:v>Test Summary Report / Quality Gates</x:v>
      </x:c>
      <x:c r="E14" s="45" t="str">
        <x:v>QA Lead</x:v>
      </x:c>
      <x:c r="F14" s="45" t="str">
        <x:v>Sí</x:v>
      </x:c>
      <x:c r="G14" s="45" t="str">
        <x:v>Pendiente</x:v>
      </x:c>
      <x:c r="H14" s="45" t="str"/>
      <x:c r="I14" s="45"/>
      <x:c r="J14" s="45"/>
    </x:row>
    <x:row r="15" ht="15" hidden="0" customHeight="1">
      <x:c r="A15" s="45" t="str">
        <x:v>Liberar</x:v>
      </x:c>
      <x:c r="B15" s="45" t="str">
        <x:v>Production Live</x:v>
      </x:c>
      <x:c r="C15" s="45" t="str">
        <x:v>¿Está listo para operar?</x:v>
      </x:c>
      <x:c r="D15" s="45" t="str">
        <x:v>Release Notes / Observability / Rollback</x:v>
      </x:c>
      <x:c r="E15" s="45" t="str">
        <x:v>SRE Lead</x:v>
      </x:c>
      <x:c r="F15" s="45" t="str">
        <x:v>Sí</x:v>
      </x:c>
      <x:c r="G15" s="45" t="str">
        <x:v>Pendiente</x:v>
      </x:c>
      <x:c r="H15" s="45" t="str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2">
    <x:dataValidation type="list" sqref="F11:F15">
      <x:formula1>"Sí,No,Adaptada,Diferida"</x:formula1>
    </x:dataValidation>
    <x:dataValidation type="list" sqref="G11:G15">
      <x:formula1>"Pendiente,En curso,En riesgo,Bloqueado,Listo"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Modelo de arquitectura aplicado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Capas, dominios, bounded contexts y patrones Evolith demostrados por UMS.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Concepto Evolith</x:v>
      </x:c>
      <x:c r="B4" s="47" t="str">
        <x:v>Qué define</x:v>
      </x:c>
      <x:c r="C4" s="47" t="str">
        <x:v>Aplicación en UMS</x:v>
      </x:c>
      <x:c r="D4" s="47" t="str">
        <x:v>Evidencia esperada</x:v>
      </x:c>
      <x:c r="E4" s="47" t="str">
        <x:v>Reutilizable en otros sistemas</x:v>
      </x:c>
      <x:c r="F4" s="45"/>
      <x:c r="G4" s="45"/>
      <x:c r="H4" s="45"/>
      <x:c r="I4" s="45"/>
      <x:c r="J4" s="45"/>
    </x:row>
    <x:row r="5" ht="15" hidden="0" customHeight="1">
      <x:c r="A5" s="45" t="str">
        <x:v>Clean Architecture</x:v>
      </x:c>
      <x:c r="B5" s="45" t="str">
        <x:v>Separación Domain / Application / Infrastructure / Presentation</x:v>
      </x:c>
      <x:c r="C5" s="45" t="str">
        <x:v>UMS API y Web separados por capas</x:v>
      </x:c>
      <x:c r="D5" s="45" t="str">
        <x:v>Estructura de código / ADRs</x:v>
      </x:c>
      <x:c r="E5" s="45" t="str">
        <x:v>Sí</x:v>
      </x:c>
      <x:c r="F5" s="45"/>
      <x:c r="G5" s="45"/>
      <x:c r="H5" s="45"/>
      <x:c r="I5" s="45"/>
      <x:c r="J5" s="45"/>
    </x:row>
    <x:row r="6" ht="15" hidden="0" customHeight="1">
      <x:c r="A6" s="45" t="str">
        <x:v>DDD</x:v>
      </x:c>
      <x:c r="B6" s="45" t="str">
        <x:v>Aggregates, Entities, Value Objects, Domain Events</x:v>
      </x:c>
      <x:c r="C6" s="45" t="str">
        <x:v>Identity, Authorization, Configuration, Approvals, Compliance, IGA, Audit</x:v>
      </x:c>
      <x:c r="D6" s="45" t="str">
        <x:v>Domain docs / aggregate index</x:v>
      </x:c>
      <x:c r="E6" s="45" t="str">
        <x:v>Sí</x:v>
      </x:c>
      <x:c r="F6" s="45"/>
      <x:c r="G6" s="45"/>
      <x:c r="H6" s="45"/>
      <x:c r="I6" s="45"/>
      <x:c r="J6" s="45"/>
    </x:row>
    <x:row r="7" ht="15" hidden="0" customHeight="1">
      <x:c r="A7" s="45" t="str">
        <x:v>Multi-tenancy</x:v>
      </x:c>
      <x:c r="B7" s="45" t="str">
        <x:v>Aislamiento, scope, visibilidad y restricciones</x:v>
      </x:c>
      <x:c r="C7" s="45" t="str">
        <x:v>Tenants, usuarios internos, usuarios tenant, admins</x:v>
      </x:c>
      <x:c r="D7" s="45" t="str">
        <x:v>Pruebas E2E y reglas de negocio</x:v>
      </x:c>
      <x:c r="E7" s="45" t="str">
        <x:v>Sí</x:v>
      </x:c>
      <x:c r="F7" s="45"/>
      <x:c r="G7" s="45"/>
      <x:c r="H7" s="45"/>
      <x:c r="I7" s="45"/>
      <x:c r="J7" s="45"/>
    </x:row>
    <x:row r="8" ht="15" hidden="0" customHeight="1">
      <x:c r="A8" s="45" t="str">
        <x:v>Security/Auth</x:v>
      </x:c>
      <x:c r="B8" s="45" t="str">
        <x:v>Autenticación, autorización y gobierno de acceso</x:v>
      </x:c>
      <x:c r="C8" s="45" t="str">
        <x:v>Local / IDP, Auth Graph, profiles, permissions</x:v>
      </x:c>
      <x:c r="D8" s="45" t="str">
        <x:v>Auth docs / test evidence</x:v>
      </x:c>
      <x:c r="E8" s="45" t="str">
        <x:v>Sí</x:v>
      </x:c>
      <x:c r="F8" s="45"/>
      <x:c r="G8" s="45"/>
      <x:c r="H8" s="45"/>
      <x:c r="I8" s="45"/>
      <x:c r="J8" s="45"/>
    </x:row>
    <x:row r="9" ht="15" hidden="0" customHeight="1">
      <x:c r="A9" s="45" t="str">
        <x:v>Observability</x:v>
      </x:c>
      <x:c r="B9" s="45" t="str">
        <x:v>Logs, traces, metrics, dashboards, runbooks</x:v>
      </x:c>
      <x:c r="C9" s="45" t="str">
        <x:v>OpenTelemetry y operaciones UMS</x:v>
      </x:c>
      <x:c r="D9" s="45" t="str">
        <x:v>Dashboards / runbooks</x:v>
      </x:c>
      <x:c r="E9" s="45" t="str">
        <x:v>Sí</x:v>
      </x:c>
      <x:c r="F9" s="45"/>
      <x:c r="G9" s="45"/>
      <x:c r="H9" s="45"/>
      <x:c r="I9" s="45"/>
      <x:c r="J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UMS como sistema registrado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Inventario de componentes que deben existir para demostrar authorization graph y gobierno de acceso.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Componente</x:v>
      </x:c>
      <x:c r="B4" s="47" t="str">
        <x:v>Descripción</x:v>
      </x:c>
      <x:c r="C4" s="47" t="str">
        <x:v>Ejemplo UMS</x:v>
      </x:c>
      <x:c r="D4" s="47" t="str">
        <x:v>Seed requerido</x:v>
      </x:c>
      <x:c r="E4" s="47" t="str">
        <x:v>Mock requerido</x:v>
      </x:c>
      <x:c r="F4" s="47" t="str">
        <x:v>BD local</x:v>
      </x:c>
      <x:c r="G4" s="47" t="str">
        <x:v>Producción</x:v>
      </x:c>
      <x:c r="H4" s="47" t="str">
        <x:v>Estado</x:v>
      </x:c>
      <x:c r="I4" s="45"/>
      <x:c r="J4" s="45"/>
    </x:row>
    <x:row r="5" ht="15" hidden="0" customHeight="1">
      <x:c r="A5" s="45" t="str">
        <x:v>SystemSuite</x:v>
      </x:c>
      <x:c r="B5" s="45" t="str">
        <x:v>Sistema/base registrado</x:v>
      </x:c>
      <x:c r="C5" s="45" t="str">
        <x:v>UMS</x:v>
      </x:c>
      <x:c r="D5" s="45" t="str">
        <x:v>Sí</x:v>
      </x:c>
      <x:c r="E5" s="45" t="str">
        <x:v>Sí</x:v>
      </x:c>
      <x:c r="F5" s="45" t="str">
        <x:v>Sí</x:v>
      </x:c>
      <x:c r="G5" s="45" t="str">
        <x:v>Sí</x:v>
      </x:c>
      <x:c r="H5" s="45" t="str">
        <x:v>Pendiente</x:v>
      </x:c>
      <x:c r="I5" s="45"/>
      <x:c r="J5" s="45"/>
    </x:row>
    <x:row r="6" ht="15" hidden="0" customHeight="1">
      <x:c r="A6" s="45" t="str">
        <x:v>Module</x:v>
      </x:c>
      <x:c r="B6" s="45" t="str">
        <x:v>Módulos funcionales</x:v>
      </x:c>
      <x:c r="C6" s="45" t="str">
        <x:v>Identity, Authorization, Configuration</x:v>
      </x:c>
      <x:c r="D6" s="45" t="str">
        <x:v>Sí</x:v>
      </x:c>
      <x:c r="E6" s="45" t="str">
        <x:v>Sí</x:v>
      </x:c>
      <x:c r="F6" s="45" t="str">
        <x:v>Sí</x:v>
      </x:c>
      <x:c r="G6" s="45" t="str">
        <x:v>Sí</x:v>
      </x:c>
      <x:c r="H6" s="45" t="str">
        <x:v>Pendiente</x:v>
      </x:c>
      <x:c r="I6" s="45"/>
      <x:c r="J6" s="45"/>
    </x:row>
    <x:row r="7" ht="15" hidden="0" customHeight="1">
      <x:c r="A7" s="45" t="str">
        <x:v>Menu/SubMenu</x:v>
      </x:c>
      <x:c r="B7" s="45" t="str">
        <x:v>Navegación funcional</x:v>
      </x:c>
      <x:c r="C7" s="45" t="str">
        <x:v>Tenants, Users, Profiles, Parameters</x:v>
      </x:c>
      <x:c r="D7" s="45" t="str">
        <x:v>Sí</x:v>
      </x:c>
      <x:c r="E7" s="45" t="str">
        <x:v>Sí</x:v>
      </x:c>
      <x:c r="F7" s="45" t="str">
        <x:v>Sí</x:v>
      </x:c>
      <x:c r="G7" s="45" t="str">
        <x:v>Sí</x:v>
      </x:c>
      <x:c r="H7" s="45" t="str">
        <x:v>Pendiente</x:v>
      </x:c>
      <x:c r="I7" s="45"/>
      <x:c r="J7" s="45"/>
    </x:row>
    <x:row r="8" ht="15" hidden="0" customHeight="1">
      <x:c r="A8" s="45" t="str">
        <x:v>Resource</x:v>
      </x:c>
      <x:c r="B8" s="45" t="str">
        <x:v>Recurso de dominio</x:v>
      </x:c>
      <x:c r="C8" s="45" t="str">
        <x:v>Tenant, UserAccount, Profile, PermissionTemplate</x:v>
      </x:c>
      <x:c r="D8" s="45" t="str">
        <x:v>Sí</x:v>
      </x:c>
      <x:c r="E8" s="45" t="str">
        <x:v>Sí</x:v>
      </x:c>
      <x:c r="F8" s="45" t="str">
        <x:v>Sí</x:v>
      </x:c>
      <x:c r="G8" s="45" t="str">
        <x:v>Sí</x:v>
      </x:c>
      <x:c r="H8" s="45" t="str">
        <x:v>Pendiente</x:v>
      </x:c>
      <x:c r="I8" s="45"/>
      <x:c r="J8" s="45"/>
    </x:row>
    <x:row r="9" ht="15" hidden="0" customHeight="1">
      <x:c r="A9" s="45" t="str">
        <x:v>Action</x:v>
      </x:c>
      <x:c r="B9" s="45" t="str">
        <x:v>Acción autorizable</x:v>
      </x:c>
      <x:c r="C9" s="45" t="str">
        <x:v>Create, Read, Update, Delete, Approve, Assign</x:v>
      </x:c>
      <x:c r="D9" s="45" t="str">
        <x:v>Sí</x:v>
      </x:c>
      <x:c r="E9" s="45" t="str">
        <x:v>Sí</x:v>
      </x:c>
      <x:c r="F9" s="45" t="str">
        <x:v>Sí</x:v>
      </x:c>
      <x:c r="G9" s="45" t="str">
        <x:v>Sí</x:v>
      </x:c>
      <x:c r="H9" s="45" t="str">
        <x:v>Pendiente</x:v>
      </x:c>
      <x:c r="I9" s="45"/>
      <x:c r="J9" s="45"/>
    </x:row>
    <x:row r="10" ht="15" hidden="0" customHeight="1">
      <x:c r="A10" s="45" t="str">
        <x:v>PermissionTemplate</x:v>
      </x:c>
      <x:c r="B10" s="45" t="str">
        <x:v>Plantilla de permisos</x:v>
      </x:c>
      <x:c r="C10" s="45" t="str">
        <x:v>AdminGlobal, AdminTenant, Operator</x:v>
      </x:c>
      <x:c r="D10" s="45" t="str">
        <x:v>Sí</x:v>
      </x:c>
      <x:c r="E10" s="45" t="str">
        <x:v>Sí</x:v>
      </x:c>
      <x:c r="F10" s="45" t="str">
        <x:v>Sí</x:v>
      </x:c>
      <x:c r="G10" s="45" t="str">
        <x:v>Sí</x:v>
      </x:c>
      <x:c r="H10" s="45" t="str">
        <x:v>Pendiente</x:v>
      </x:c>
      <x:c r="I10" s="45"/>
      <x:c r="J10" s="45"/>
    </x:row>
    <x:row r="11" ht="15" hidden="0" customHeight="1">
      <x:c r="A11" s="45" t="str">
        <x:v>Profile</x:v>
      </x:c>
      <x:c r="B11" s="45" t="str">
        <x:v>Perfil asignable</x:v>
      </x:c>
      <x:c r="C11" s="45" t="str">
        <x:v>TenantAdmin, SystemAdmin, Auditor</x:v>
      </x:c>
      <x:c r="D11" s="45" t="str">
        <x:v>Sí</x:v>
      </x:c>
      <x:c r="E11" s="45" t="str">
        <x:v>Sí</x:v>
      </x:c>
      <x:c r="F11" s="45" t="str">
        <x:v>Sí</x:v>
      </x:c>
      <x:c r="G11" s="45" t="str">
        <x:v>Sí</x:v>
      </x:c>
      <x:c r="H11" s="45" t="str">
        <x:v>Pendiente</x:v>
      </x:c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1">
    <x:dataValidation type="list" sqref="H5:H11">
      <x:formula1>"Pendiente,En curso,Listo,Bloqueado,N/A"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Modelo multi-tenant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Scope, visibilidad y restricciones por tipo de usuario y tenant.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Actor</x:v>
      </x:c>
      <x:c r="B4" s="47" t="str">
        <x:v>Scope</x:v>
      </x:c>
      <x:c r="C4" s="47" t="str">
        <x:v>Puede ver</x:v>
      </x:c>
      <x:c r="D4" s="47" t="str">
        <x:v>No puede ver</x:v>
      </x:c>
      <x:c r="E4" s="47" t="str">
        <x:v>Operaciones permitidas</x:v>
      </x:c>
      <x:c r="F4" s="47" t="str">
        <x:v>Riesgo</x:v>
      </x:c>
      <x:c r="G4" s="47" t="str">
        <x:v>Prueba esperada</x:v>
      </x:c>
      <x:c r="H4" s="47" t="str">
        <x:v>Estado</x:v>
      </x:c>
      <x:c r="I4" s="45"/>
      <x:c r="J4" s="45"/>
    </x:row>
    <x:row r="5" ht="15" hidden="0" customHeight="1">
      <x:c r="A5" s="45" t="str">
        <x:v>Admin interno / global</x:v>
      </x:c>
      <x:c r="B5" s="45" t="str">
        <x:v>Global</x:v>
      </x:c>
      <x:c r="C5" s="45" t="str">
        <x:v>Todos los tenants según política</x:v>
      </x:c>
      <x:c r="D5" s="45" t="str">
        <x:v>Datos restringidos por compliance si aplica</x:v>
      </x:c>
      <x:c r="E5" s="45" t="str">
        <x:v>Config global, tenants, parámetros globales</x:v>
      </x:c>
      <x:c r="F5" s="45" t="str">
        <x:v>Sobrealcance</x:v>
      </x:c>
      <x:c r="G5" s="45" t="str">
        <x:v>E2E admin global</x:v>
      </x:c>
      <x:c r="H5" s="45" t="str">
        <x:v>Pendiente</x:v>
      </x:c>
      <x:c r="I5" s="45"/>
      <x:c r="J5" s="45"/>
    </x:row>
    <x:row r="6" ht="15" hidden="0" customHeight="1">
      <x:c r="A6" s="45" t="str">
        <x:v>Admin de tenant</x:v>
      </x:c>
      <x:c r="B6" s="45" t="str">
        <x:v>Tenant</x:v>
      </x:c>
      <x:c r="C6" s="45" t="str">
        <x:v>Solo su tenant</x:v>
      </x:c>
      <x:c r="D6" s="45" t="str">
        <x:v>Otros tenants</x:v>
      </x:c>
      <x:c r="E6" s="45" t="str">
        <x:v>Usuarios, perfiles y parámetros de su tenant</x:v>
      </x:c>
      <x:c r="F6" s="45" t="str">
        <x:v>Fuga cross-tenant</x:v>
      </x:c>
      <x:c r="G6" s="45" t="str">
        <x:v>E2E aislamiento tenant</x:v>
      </x:c>
      <x:c r="H6" s="45" t="str">
        <x:v>Pendiente</x:v>
      </x:c>
      <x:c r="I6" s="45"/>
      <x:c r="J6" s="45"/>
    </x:row>
    <x:row r="7" ht="15" hidden="0" customHeight="1">
      <x:c r="A7" s="45" t="str">
        <x:v>Usuario tenant</x:v>
      </x:c>
      <x:c r="B7" s="45" t="str">
        <x:v>Tenant + perfil</x:v>
      </x:c>
      <x:c r="C7" s="45" t="str">
        <x:v>Opciones autorizadas por perfil</x:v>
      </x:c>
      <x:c r="D7" s="45" t="str">
        <x:v>Menús/acciones no autorizadas</x:v>
      </x:c>
      <x:c r="E7" s="45" t="str">
        <x:v>Uso operacional permitido</x:v>
      </x:c>
      <x:c r="F7" s="45" t="str">
        <x:v>Permisos excesivos</x:v>
      </x:c>
      <x:c r="G7" s="45" t="str">
        <x:v>E2E auth graph</x:v>
      </x:c>
      <x:c r="H7" s="45" t="str">
        <x:v>Pendiente</x:v>
      </x:c>
      <x:c r="I7" s="45"/>
      <x:c r="J7" s="45"/>
    </x:row>
    <x:row r="8" ht="15" hidden="0" customHeight="1">
      <x:c r="A8" s="45" t="str">
        <x:v>Usuario interno</x:v>
      </x:c>
      <x:c r="B8" s="45" t="str">
        <x:v>Scope según perfil</x:v>
      </x:c>
      <x:c r="C8" s="45" t="str">
        <x:v>Recursos internos asignados</x:v>
      </x:c>
      <x:c r="D8" s="45" t="str">
        <x:v>Tenants no autorizados</x:v>
      </x:c>
      <x:c r="E8" s="45" t="str">
        <x:v>Operación interna</x:v>
      </x:c>
      <x:c r="F8" s="45" t="str">
        <x:v>Visibilidad indebida</x:v>
      </x:c>
      <x:c r="G8" s="45" t="str">
        <x:v>Unit + E2E</x:v>
      </x:c>
      <x:c r="H8" s="45" t="str">
        <x:v>Pendiente</x:v>
      </x:c>
      <x:c r="I8" s="45"/>
      <x:c r="J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1">
    <x:dataValidation type="list" sqref="H5:H8">
      <x:formula1>"Pendiente,En curso,Listo,Bloqueado"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Parametrización global y por tenant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Catálogo maestro, valores, precedencia, loader, memoria y consistencia entre ambientes.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Tipo</x:v>
      </x:c>
      <x:c r="B4" s="47" t="str">
        <x:v>Dónde se define</x:v>
      </x:c>
      <x:c r="C4" s="47" t="str">
        <x:v>Scope</x:v>
      </x:c>
      <x:c r="D4" s="47" t="str">
        <x:v>Valor por defecto</x:v>
      </x:c>
      <x:c r="E4" s="47" t="str">
        <x:v>Override tenant</x:v>
      </x:c>
      <x:c r="F4" s="47" t="str">
        <x:v>Regla de precedencia</x:v>
      </x:c>
      <x:c r="G4" s="47" t="str">
        <x:v>Loader / Cache</x:v>
      </x:c>
      <x:c r="H4" s="47" t="str">
        <x:v>Estado</x:v>
      </x:c>
      <x:c r="I4" s="45"/>
      <x:c r="J4" s="45"/>
    </x:row>
    <x:row r="5" ht="15" hidden="0" customHeight="1">
      <x:c r="A5" s="45" t="str">
        <x:v>Catálogo maestro</x:v>
      </x:c>
      <x:c r="B5" s="45" t="str">
        <x:v>ParameterDefinition</x:v>
      </x:c>
      <x:c r="C5" s="45" t="str">
        <x:v>Global</x:v>
      </x:c>
      <x:c r="D5" s="45" t="str">
        <x:v>Sí</x:v>
      </x:c>
      <x:c r="E5" s="45" t="str">
        <x:v>Según scope</x:v>
      </x:c>
      <x:c r="F5" s="45" t="str">
        <x:v>Define si puede ser global, tenant o ambos</x:v>
      </x:c>
      <x:c r="G5" s="45" t="str">
        <x:v>Loader inicial</x:v>
      </x:c>
      <x:c r="H5" s="45" t="str">
        <x:v>Pendiente</x:v>
      </x:c>
      <x:c r="I5" s="45"/>
      <x:c r="J5" s="45"/>
    </x:row>
    <x:row r="6" ht="15" hidden="0" customHeight="1">
      <x:c r="A6" s="45" t="str">
        <x:v>Global only</x:v>
      </x:c>
      <x:c r="B6" s="45" t="str">
        <x:v>ParameterGlobalValue</x:v>
      </x:c>
      <x:c r="C6" s="45" t="str">
        <x:v>Global</x:v>
      </x:c>
      <x:c r="D6" s="45" t="str">
        <x:v>Sí</x:v>
      </x:c>
      <x:c r="E6" s="45" t="str">
        <x:v>No</x:v>
      </x:c>
      <x:c r="F6" s="45" t="str">
        <x:v>Global manda</x:v>
      </x:c>
      <x:c r="G6" s="45" t="str">
        <x:v>Memoria / futuro Redis</x:v>
      </x:c>
      <x:c r="H6" s="45" t="str">
        <x:v>Pendiente</x:v>
      </x:c>
      <x:c r="I6" s="45"/>
      <x:c r="J6" s="45"/>
    </x:row>
    <x:row r="7" ht="15" hidden="0" customHeight="1">
      <x:c r="A7" s="45" t="str">
        <x:v>Tenant only</x:v>
      </x:c>
      <x:c r="B7" s="45" t="str">
        <x:v>ParameterTenantValue</x:v>
      </x:c>
      <x:c r="C7" s="45" t="str">
        <x:v>Tenant</x:v>
      </x:c>
      <x:c r="D7" s="45" t="str">
        <x:v>Opcional</x:v>
      </x:c>
      <x:c r="E7" s="45" t="str">
        <x:v>Sí</x:v>
      </x:c>
      <x:c r="F7" s="45" t="str">
        <x:v>Tenant requerido</x:v>
      </x:c>
      <x:c r="G7" s="45" t="str">
        <x:v>Memoria / futuro Redis</x:v>
      </x:c>
      <x:c r="H7" s="45" t="str">
        <x:v>Pendiente</x:v>
      </x:c>
      <x:c r="I7" s="45"/>
      <x:c r="J7" s="45"/>
    </x:row>
    <x:row r="8" ht="15" hidden="0" customHeight="1">
      <x:c r="A8" s="45" t="str">
        <x:v>Global/Tenant</x:v>
      </x:c>
      <x:c r="B8" s="45" t="str">
        <x:v>Global + Tenant</x:v>
      </x:c>
      <x:c r="C8" s="45" t="str">
        <x:v>Mixto</x:v>
      </x:c>
      <x:c r="D8" s="45" t="str">
        <x:v>Sí</x:v>
      </x:c>
      <x:c r="E8" s="45" t="str">
        <x:v>Sí</x:v>
      </x:c>
      <x:c r="F8" s="45" t="str">
        <x:v>Tenant override &gt; Global default</x:v>
      </x:c>
      <x:c r="G8" s="45" t="str">
        <x:v>Memoria / futuro Redis</x:v>
      </x:c>
      <x:c r="H8" s="45" t="str">
        <x:v>Pendiente</x:v>
      </x:c>
      <x:c r="I8" s="45"/>
      <x:c r="J8" s="45"/>
    </x:row>
    <x:row r="9" ht="15" hidden="0" customHeight="1">
      <x:c r="A9" s="45" t="str">
        <x:v>Consistencia</x:v>
      </x:c>
      <x:c r="B9" s="45" t="str">
        <x:v>Mocks / BD local / Producción</x:v>
      </x:c>
      <x:c r="C9" s="45" t="str">
        <x:v>Todos</x:v>
      </x:c>
      <x:c r="D9" s="45" t="str">
        <x:v>Sí</x:v>
      </x:c>
      <x:c r="E9" s="45" t="str">
        <x:v>Sí</x:v>
      </x:c>
      <x:c r="F9" s="45" t="str">
        <x:v>Datos equivalentes por ambiente</x:v>
      </x:c>
      <x:c r="G9" s="45" t="str">
        <x:v>Seeds + pruebas</x:v>
      </x:c>
      <x:c r="H9" s="45" t="str">
        <x:v>Pendiente</x:v>
      </x:c>
      <x:c r="I9" s="45"/>
      <x:c r="J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1">
    <x:dataValidation type="list" sqref="H5:H9">
      <x:formula1>"Pendiente,En curso,Listo,Bloqueado"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Autenticación y autorización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Diferenciar acceso al portal UMS de APIs públicas externas de autenticación/autorización.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Tema</x:v>
      </x:c>
      <x:c r="B4" s="47" t="str">
        <x:v>Concepto</x:v>
      </x:c>
      <x:c r="C4" s="47" t="str">
        <x:v>Aplicación UMS</x:v>
      </x:c>
      <x:c r="D4" s="47" t="str">
        <x:v>Regla clave</x:v>
      </x:c>
      <x:c r="E4" s="47" t="str">
        <x:v>Evidencia</x:v>
      </x:c>
      <x:c r="F4" s="47" t="str">
        <x:v>Gap</x:v>
      </x:c>
      <x:c r="G4" s="47" t="str">
        <x:v>Owner</x:v>
      </x:c>
      <x:c r="H4" s="47" t="str">
        <x:v>Estado</x:v>
      </x:c>
      <x:c r="I4" s="45"/>
      <x:c r="J4" s="45"/>
    </x:row>
    <x:row r="5" ht="15" hidden="0" customHeight="1">
      <x:c r="A5" s="45" t="str">
        <x:v>Método Local</x:v>
      </x:c>
      <x:c r="B5" s="45" t="str">
        <x:v>Autenticación gestionada por UMS</x:v>
      </x:c>
      <x:c r="C5" s="45" t="str">
        <x:v>Usuarios con credenciales locales</x:v>
      </x:c>
      <x:c r="D5" s="45" t="str">
        <x:v>Aplica según tenant/configuración</x:v>
      </x:c>
      <x:c r="E5" s="45" t="str">
        <x:v>Tests auth local</x:v>
      </x:c>
      <x:c r="F5" s="45" t="str"/>
      <x:c r="G5" s="45" t="str"/>
      <x:c r="H5" s="45" t="str">
        <x:v>Pendiente</x:v>
      </x:c>
      <x:c r="I5" s="45"/>
      <x:c r="J5" s="45"/>
    </x:row>
    <x:row r="6" ht="15" hidden="0" customHeight="1">
      <x:c r="A6" s="45" t="str">
        <x:v>IDP</x:v>
      </x:c>
      <x:c r="B6" s="45" t="str">
        <x:v>Autenticación delegada</x:v>
      </x:c>
      <x:c r="C6" s="45" t="str">
        <x:v>OIDC/SAML/otros</x:v>
      </x:c>
      <x:c r="D6" s="45" t="str">
        <x:v>Resolución por tenant</x:v>
      </x:c>
      <x:c r="E6" s="45" t="str">
        <x:v>Tests IDP routing</x:v>
      </x:c>
      <x:c r="F6" s="45" t="str"/>
      <x:c r="G6" s="45" t="str"/>
      <x:c r="H6" s="45" t="str">
        <x:v>Pendiente</x:v>
      </x:c>
      <x:c r="I6" s="45"/>
      <x:c r="J6" s="45"/>
    </x:row>
    <x:row r="7" ht="15" hidden="0" customHeight="1">
      <x:c r="A7" s="45" t="str">
        <x:v>API pública externa</x:v>
      </x:c>
      <x:c r="B7" s="45" t="str">
        <x:v>Autenticación/autorización para sistemas cliente</x:v>
      </x:c>
      <x:c r="C7" s="45" t="str">
        <x:v>Endpoint externo consume Auth Graph/decisiones</x:v>
      </x:c>
      <x:c r="D7" s="45" t="str">
        <x:v>No confundir con login al portal UMS</x:v>
      </x:c>
      <x:c r="E7" s="45" t="str">
        <x:v>Contrato API</x:v>
      </x:c>
      <x:c r="F7" s="45" t="str"/>
      <x:c r="G7" s="45" t="str"/>
      <x:c r="H7" s="45" t="str">
        <x:v>Pendiente</x:v>
      </x:c>
      <x:c r="I7" s="45"/>
      <x:c r="J7" s="45"/>
    </x:row>
    <x:row r="8" ht="15" hidden="0" customHeight="1">
      <x:c r="A8" s="45" t="str">
        <x:v>Profile</x:v>
      </x:c>
      <x:c r="B8" s="45" t="str">
        <x:v>Perfil y permisos asignados</x:v>
      </x:c>
      <x:c r="C8" s="45" t="str">
        <x:v>AdminTenant, Auditor, Operator</x:v>
      </x:c>
      <x:c r="D8" s="45" t="str">
        <x:v>Profile determina visibilidad y acciones</x:v>
      </x:c>
      <x:c r="E8" s="45" t="str">
        <x:v>E2E permisos</x:v>
      </x:c>
      <x:c r="F8" s="45" t="str"/>
      <x:c r="G8" s="45" t="str"/>
      <x:c r="H8" s="45" t="str">
        <x:v>Pendiente</x:v>
      </x:c>
      <x:c r="I8" s="45"/>
      <x:c r="J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1">
    <x:dataValidation type="list" sqref="H5:H8">
      <x:formula1>"Pendiente,En curso,Listo,Bloqueado"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Auth Graph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Información que un sistema cliente puede consumir para entender menús, recursos, acciones, scopes y permisos.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Elemento</x:v>
      </x:c>
      <x:c r="B4" s="47" t="str">
        <x:v>Descripción</x:v>
      </x:c>
      <x:c r="C4" s="47" t="str">
        <x:v>Ejemplo JSON / valor</x:v>
      </x:c>
      <x:c r="D4" s="47" t="str">
        <x:v>Validación</x:v>
      </x:c>
      <x:c r="E4" s="45"/>
      <x:c r="F4" s="45"/>
      <x:c r="G4" s="45"/>
      <x:c r="H4" s="45"/>
      <x:c r="I4" s="45"/>
      <x:c r="J4" s="45"/>
    </x:row>
    <x:row r="5" ht="15" hidden="0" customHeight="1">
      <x:c r="A5" s="45" t="str">
        <x:v>tenantId</x:v>
      </x:c>
      <x:c r="B5" s="45" t="str">
        <x:v>Tenant efectivo para la resolución</x:v>
      </x:c>
      <x:c r="C5" s="45" t="str">
        <x:v>{"tenantId":"ransa"}</x:v>
      </x:c>
      <x:c r="D5" s="45" t="str">
        <x:v>No permite datos de otro tenant</x:v>
      </x:c>
      <x:c r="E5" s="45"/>
      <x:c r="F5" s="45"/>
      <x:c r="G5" s="45"/>
      <x:c r="H5" s="45"/>
      <x:c r="I5" s="45"/>
      <x:c r="J5" s="45"/>
    </x:row>
    <x:row r="6" ht="15" hidden="0" customHeight="1">
      <x:c r="A6" s="45" t="str">
        <x:v>userId</x:v>
      </x:c>
      <x:c r="B6" s="45" t="str">
        <x:v>Usuario autenticado</x:v>
      </x:c>
      <x:c r="C6" s="45" t="str">
        <x:v>{"userId":"u-123"}</x:v>
      </x:c>
      <x:c r="D6" s="45" t="str">
        <x:v>Debe existir y estar activo</x:v>
      </x:c>
      <x:c r="E6" s="45"/>
      <x:c r="F6" s="45"/>
      <x:c r="G6" s="45"/>
      <x:c r="H6" s="45"/>
      <x:c r="I6" s="45"/>
      <x:c r="J6" s="45"/>
    </x:row>
    <x:row r="7" ht="15" hidden="0" customHeight="1">
      <x:c r="A7" s="45" t="str">
        <x:v>profiles</x:v>
      </x:c>
      <x:c r="B7" s="45" t="str">
        <x:v>Perfiles efectivos</x:v>
      </x:c>
      <x:c r="C7" s="45" t="str">
        <x:v>{"profiles":["TenantAdmin"]}</x:v>
      </x:c>
      <x:c r="D7" s="45" t="str">
        <x:v>Profiles vigentes</x:v>
      </x:c>
      <x:c r="E7" s="45"/>
      <x:c r="F7" s="45"/>
      <x:c r="G7" s="45"/>
      <x:c r="H7" s="45"/>
      <x:c r="I7" s="45"/>
      <x:c r="J7" s="45"/>
    </x:row>
    <x:row r="8" ht="15" hidden="0" customHeight="1">
      <x:c r="A8" s="45" t="str">
        <x:v>menus</x:v>
      </x:c>
      <x:c r="B8" s="45" t="str">
        <x:v>Menús autorizados</x:v>
      </x:c>
      <x:c r="C8" s="45" t="str">
        <x:v>{"menus":[{"code":"TENANTS","visible":true}]}</x:v>
      </x:c>
      <x:c r="D8" s="45" t="str">
        <x:v>Solo visibles por permiso</x:v>
      </x:c>
      <x:c r="E8" s="45"/>
      <x:c r="F8" s="45"/>
      <x:c r="G8" s="45"/>
      <x:c r="H8" s="45"/>
      <x:c r="I8" s="45"/>
      <x:c r="J8" s="45"/>
    </x:row>
    <x:row r="9" ht="15" hidden="0" customHeight="1">
      <x:c r="A9" s="45" t="str">
        <x:v>resources</x:v>
      </x:c>
      <x:c r="B9" s="45" t="str">
        <x:v>Recursos de dominio</x:v>
      </x:c>
      <x:c r="C9" s="45" t="str">
        <x:v>{"resource":"Tenant","actions":["Read","Update"]}</x:v>
      </x:c>
      <x:c r="D9" s="45" t="str">
        <x:v>Acciones permitidas</x:v>
      </x:c>
      <x:c r="E9" s="45"/>
      <x:c r="F9" s="45"/>
      <x:c r="G9" s="45"/>
      <x:c r="H9" s="45"/>
      <x:c r="I9" s="45"/>
      <x:c r="J9" s="45"/>
    </x:row>
    <x:row r="10" ht="15" hidden="0" customHeight="1">
      <x:c r="A10" s="45" t="str">
        <x:v>scope</x:v>
      </x:c>
      <x:c r="B10" s="45" t="str">
        <x:v>Scope de autorización</x:v>
      </x:c>
      <x:c r="C10" s="45" t="str">
        <x:v>{"scope":{"tenant":"ransa","branch":"lima"}}</x:v>
      </x:c>
      <x:c r="D10" s="45" t="str">
        <x:v>Aplica precedencia</x:v>
      </x:c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 ht="15" hidden="0" customHeight="1">
      <x:c r="A12" s="48" t="str">
        <x:v>Regla: el Auth Graph debe conectar roles, perfiles, permisos, menús, recursos, acciones y scopes en un contrato consumible por sistemas cliente.</x:v>
      </x:c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  <x:mergeCell ref="A12:H12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UI/UX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Material Design 3, claridad visual y consistencia entre vistas React.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Aspecto</x:v>
      </x:c>
      <x:c r="B4" s="47" t="str">
        <x:v>Regla</x:v>
      </x:c>
      <x:c r="C4" s="47" t="str">
        <x:v>Aplicación UMS</x:v>
      </x:c>
      <x:c r="D4" s="47" t="str">
        <x:v>Evidencia</x:v>
      </x:c>
      <x:c r="E4" s="47" t="str">
        <x:v>Gap</x:v>
      </x:c>
      <x:c r="F4" s="47" t="str">
        <x:v>Owner</x:v>
      </x:c>
      <x:c r="G4" s="47" t="str">
        <x:v>Estado</x:v>
      </x:c>
      <x:c r="H4" s="45"/>
      <x:c r="I4" s="45"/>
      <x:c r="J4" s="45"/>
    </x:row>
    <x:row r="5" ht="15" hidden="0" customHeight="1">
      <x:c r="A5" s="45" t="str">
        <x:v>Material Design 3</x:v>
      </x:c>
      <x:c r="B5" s="45" t="str">
        <x:v>Usar patrón visual común</x:v>
      </x:c>
      <x:c r="C5" s="45" t="str">
        <x:v>Componentes de navegación, cards, formularios</x:v>
      </x:c>
      <x:c r="D5" s="45" t="str">
        <x:v>Capturas / Storybook / UI review</x:v>
      </x:c>
      <x:c r="E5" s="45" t="str"/>
      <x:c r="F5" s="45" t="str"/>
      <x:c r="G5" s="45" t="str">
        <x:v>Pendiente</x:v>
      </x:c>
      <x:c r="H5" s="45"/>
      <x:c r="I5" s="45"/>
      <x:c r="J5" s="45"/>
    </x:row>
    <x:row r="6" ht="15" hidden="0" customHeight="1">
      <x:c r="A6" s="45" t="str">
        <x:v>Minimalismo</x:v>
      </x:c>
      <x:c r="B6" s="45" t="str">
        <x:v>Reducir ruido visual</x:v>
      </x:c>
      <x:c r="C6" s="45" t="str">
        <x:v>Pantallas ejecutivas y operativas claras</x:v>
      </x:c>
      <x:c r="D6" s="45" t="str">
        <x:v>UX review</x:v>
      </x:c>
      <x:c r="E6" s="45" t="str"/>
      <x:c r="F6" s="45" t="str"/>
      <x:c r="G6" s="45" t="str">
        <x:v>Pendiente</x:v>
      </x:c>
      <x:c r="H6" s="45"/>
      <x:c r="I6" s="45"/>
      <x:c r="J6" s="45"/>
    </x:row>
    <x:row r="7" ht="15" hidden="0" customHeight="1">
      <x:c r="A7" s="45" t="str">
        <x:v>Consistencia</x:v>
      </x:c>
      <x:c r="B7" s="45" t="str">
        <x:v>Mismas reglas visuales por módulo</x:v>
      </x:c>
      <x:c r="C7" s="45" t="str">
        <x:v>Tenants, Users, Parameters, Profiles</x:v>
      </x:c>
      <x:c r="D7" s="45" t="str">
        <x:v>E2E visual</x:v>
      </x:c>
      <x:c r="E7" s="45" t="str"/>
      <x:c r="F7" s="45" t="str"/>
      <x:c r="G7" s="45" t="str">
        <x:v>Pendiente</x:v>
      </x:c>
      <x:c r="H7" s="45"/>
      <x:c r="I7" s="45"/>
      <x:c r="J7" s="45"/>
    </x:row>
    <x:row r="8" ht="15" hidden="0" customHeight="1">
      <x:c r="A8" s="45" t="str">
        <x:v>Accesibilidad</x:v>
      </x:c>
      <x:c r="B8" s="45" t="str">
        <x:v>Contraste, focus, keyboard</x:v>
      </x:c>
      <x:c r="C8" s="45" t="str">
        <x:v>Componentes reusables</x:v>
      </x:c>
      <x:c r="D8" s="45" t="str">
        <x:v>Checklist UI</x:v>
      </x:c>
      <x:c r="E8" s="45" t="str"/>
      <x:c r="F8" s="45" t="str"/>
      <x:c r="G8" s="45" t="str">
        <x:v>Pendiente</x:v>
      </x:c>
      <x:c r="H8" s="45"/>
      <x:c r="I8" s="45"/>
      <x:c r="J8" s="45"/>
    </x:row>
    <x:row r="9">
      <x:c r="A9" s="45"/>
      <x:c r="B9" s="45"/>
      <x:c r="C9" s="45"/>
      <x:c r="D9" s="45"/>
      <x:c r="E9" s="45"/>
      <x:c r="F9" s="45"/>
      <x:c r="G9" s="45"/>
      <x:c r="H9" s="45"/>
      <x:c r="I9" s="45"/>
      <x:c r="J9" s="45"/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1">
    <x:dataValidation type="list" sqref="G5:G8">
      <x:formula1>"Pendiente,En curso,Listo,Bloqueado"</x:formula1>
    </x:dataValidation>
  </x:dataValidation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1.84000015258789" hidden="0" customWidth="1"/>
    <x:col min="10" max="10" width="10.229999542236328" hidden="0" customWidth="1"/>
  </x:cols>
  <x:sheetData>
    <x:row r="1" ht="18" hidden="0" customHeight="1">
      <x:c r="A1" s="44" t="str">
        <x:v>GAPS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Registrar qué existe, qué falta, qué debe adecuarse y el impacto.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ID</x:v>
      </x:c>
      <x:c r="B4" s="47" t="str">
        <x:v>Área</x:v>
      </x:c>
      <x:c r="C4" s="47" t="str">
        <x:v>Existe actualmente</x:v>
      </x:c>
      <x:c r="D4" s="47" t="str">
        <x:v>Falta / Gap</x:v>
      </x:c>
      <x:c r="E4" s="47" t="str">
        <x:v>Tipo</x:v>
      </x:c>
      <x:c r="F4" s="47" t="str">
        <x:v>Impacto</x:v>
      </x:c>
      <x:c r="G4" s="47" t="str">
        <x:v>Prioridad</x:v>
      </x:c>
      <x:c r="H4" s="47" t="str">
        <x:v>Owner</x:v>
      </x:c>
      <x:c r="I4" s="47" t="str">
        <x:v>Fecha objetivo</x:v>
      </x:c>
      <x:c r="J4" s="47" t="str">
        <x:v>Estado</x:v>
      </x:c>
    </x:row>
    <x:row r="5" ht="15" hidden="0" customHeight="1">
      <x:c r="A5" s="45" t="str">
        <x:v>G-001</x:v>
      </x:c>
      <x:c r="B5" s="45" t="str">
        <x:v>Auth Graph</x:v>
      </x:c>
      <x:c r="C5" s="45" t="str">
        <x:v>Base conceptual</x:v>
      </x:c>
      <x:c r="D5" s="45" t="str">
        <x:v>Confirmar contrato JSON final y consumidores</x:v>
      </x:c>
      <x:c r="E5" s="45" t="str">
        <x:v>Funcional/Técnico</x:v>
      </x:c>
      <x:c r="F5" s="45" t="str">
        <x:v>Alto</x:v>
      </x:c>
      <x:c r="G5" s="45" t="str">
        <x:v>Alta</x:v>
      </x:c>
      <x:c r="H5" s="45" t="str"/>
      <x:c r="I5" s="45" t="str"/>
      <x:c r="J5" s="45" t="str">
        <x:v>Pendiente</x:v>
      </x:c>
    </x:row>
    <x:row r="6" ht="15" hidden="0" customHeight="1">
      <x:c r="A6" s="45" t="str">
        <x:v>G-002</x:v>
      </x:c>
      <x:c r="B6" s="45" t="str">
        <x:v>Parametrización</x:v>
      </x:c>
      <x:c r="C6" s="45" t="str">
        <x:v>Modelo global/tenant</x:v>
      </x:c>
      <x:c r="D6" s="45" t="str">
        <x:v>Alinear mocks, BD local y producción</x:v>
      </x:c>
      <x:c r="E6" s="45" t="str">
        <x:v>Técnico</x:v>
      </x:c>
      <x:c r="F6" s="45" t="str">
        <x:v>Alto</x:v>
      </x:c>
      <x:c r="G6" s="45" t="str">
        <x:v>Alta</x:v>
      </x:c>
      <x:c r="H6" s="45" t="str"/>
      <x:c r="I6" s="45" t="str"/>
      <x:c r="J6" s="45" t="str">
        <x:v>Pendiente</x:v>
      </x:c>
    </x:row>
    <x:row r="7" ht="15" hidden="0" customHeight="1">
      <x:c r="A7" s="45" t="str">
        <x:v>G-003</x:v>
      </x:c>
      <x:c r="B7" s="45" t="str">
        <x:v>Seeds</x:v>
      </x:c>
      <x:c r="C7" s="45" t="str">
        <x:v>Seeds parciales</x:v>
      </x:c>
      <x:c r="D7" s="45" t="str">
        <x:v>Inventario completo de sistema, módulos, menús, recursos y acciones</x:v>
      </x:c>
      <x:c r="E7" s="45" t="str">
        <x:v>Datos</x:v>
      </x:c>
      <x:c r="F7" s="45" t="str">
        <x:v>Alto</x:v>
      </x:c>
      <x:c r="G7" s="45" t="str">
        <x:v>Alta</x:v>
      </x:c>
      <x:c r="H7" s="45" t="str"/>
      <x:c r="I7" s="45" t="str"/>
      <x:c r="J7" s="45" t="str">
        <x:v>Pendiente</x:v>
      </x:c>
    </x:row>
    <x:row r="8" ht="15" hidden="0" customHeight="1">
      <x:c r="A8" s="45" t="str">
        <x:v>G-004</x:v>
      </x:c>
      <x:c r="B8" s="45" t="str">
        <x:v>UI/UX</x:v>
      </x:c>
      <x:c r="C8" s="45" t="str">
        <x:v>Vistas React</x:v>
      </x:c>
      <x:c r="D8" s="45" t="str">
        <x:v>Normalizar Material Design 3 y consistencia</x:v>
      </x:c>
      <x:c r="E8" s="45" t="str">
        <x:v>UX</x:v>
      </x:c>
      <x:c r="F8" s="45" t="str">
        <x:v>Medio</x:v>
      </x:c>
      <x:c r="G8" s="45" t="str">
        <x:v>Media</x:v>
      </x:c>
      <x:c r="H8" s="45" t="str"/>
      <x:c r="I8" s="45" t="str"/>
      <x:c r="J8" s="45" t="str">
        <x:v>Pendiente</x:v>
      </x:c>
    </x:row>
    <x:row r="9" ht="15" hidden="0" customHeight="1">
      <x:c r="A9" s="45" t="str">
        <x:v>G-005</x:v>
      </x:c>
      <x:c r="B9" s="45" t="str">
        <x:v>Documentación</x:v>
      </x:c>
      <x:c r="C9" s="45" t="str">
        <x:v>Docs base</x:v>
      </x:c>
      <x:c r="D9" s="45" t="str">
        <x:v>Actualizar ADRs, índices, diagramas y paridad EN/ES</x:v>
      </x:c>
      <x:c r="E9" s="45" t="str">
        <x:v>Documental</x:v>
      </x:c>
      <x:c r="F9" s="45" t="str">
        <x:v>Alto</x:v>
      </x:c>
      <x:c r="G9" s="45" t="str">
        <x:v>Alta</x:v>
      </x:c>
      <x:c r="H9" s="45" t="str"/>
      <x:c r="I9" s="45" t="str"/>
      <x:c r="J9" s="45" t="str">
        <x:v>Pendiente</x:v>
      </x:c>
    </x:row>
    <x:row r="10">
      <x:c r="A10" s="45"/>
      <x:c r="B10" s="45"/>
      <x:c r="C10" s="45"/>
      <x:c r="D10" s="45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2">
    <x:dataValidation type="list" sqref="G5:G50">
      <x:formula1>"Alta,Media,Baja"</x:formula1>
    </x:dataValidation>
    <x:dataValidation type="list" sqref="J5:J50">
      <x:formula1>"Pendiente,En curso,En riesgo,Bloqueado,Listo"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10.229999542236328" hidden="0" customWidth="1"/>
    <x:col min="10" max="10" width="9.5600004196167" hidden="0" customWidth="1"/>
  </x:cols>
  <x:sheetData>
    <x:row r="1" ht="18" hidden="0" customHeight="1">
      <x:c r="A1" s="44" t="str">
        <x:v>Plan de adecuación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Fases, priorización, dependencias, entregables y validaciones.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Fase</x:v>
      </x:c>
      <x:c r="B4" s="47" t="str">
        <x:v>Objetivo</x:v>
      </x:c>
      <x:c r="C4" s="47" t="str">
        <x:v>Entregable</x:v>
      </x:c>
      <x:c r="D4" s="47" t="str">
        <x:v>Dependencia</x:v>
      </x:c>
      <x:c r="E4" s="47" t="str">
        <x:v>Owner</x:v>
      </x:c>
      <x:c r="F4" s="47" t="str">
        <x:v>Inicio</x:v>
      </x:c>
      <x:c r="G4" s="47" t="str">
        <x:v>Fin</x:v>
      </x:c>
      <x:c r="H4" s="47" t="str">
        <x:v>Validación</x:v>
      </x:c>
      <x:c r="I4" s="47" t="str">
        <x:v>Estado</x:v>
      </x:c>
      <x:c r="J4" s="47" t="str">
        <x:v>Comentario</x:v>
      </x:c>
    </x:row>
    <x:row r="5" ht="15" hidden="0" customHeight="1">
      <x:c r="A5" s="45" t="str">
        <x:v>1. Alineación</x:v>
      </x:c>
      <x:c r="B5" s="45" t="str">
        <x:v>Separar Evolith vs UMS y SDLC</x:v>
      </x:c>
      <x:c r="C5" s="45" t="str">
        <x:v>Narrativa ejecutiva y workbook v4</x:v>
      </x:c>
      <x:c r="D5" s="45" t="str">
        <x:v>One-pager actualizado</x:v>
      </x:c>
      <x:c r="E5" s="45" t="str"/>
      <x:c r="F5" s="49" t="str"/>
      <x:c r="G5" s="49" t="str"/>
      <x:c r="H5" s="45" t="str">
        <x:v>Revisión ejecutiva</x:v>
      </x:c>
      <x:c r="I5" s="45" t="str">
        <x:v>Pendiente</x:v>
      </x:c>
      <x:c r="J5" s="45" t="str"/>
    </x:row>
    <x:row r="6" ht="15" hidden="0" customHeight="1">
      <x:c r="A6" s="45" t="str">
        <x:v>2. Modelo UMS</x:v>
      </x:c>
      <x:c r="B6" s="45" t="str">
        <x:v>Inventariar sistema registrado</x:v>
      </x:c>
      <x:c r="C6" s="45" t="str">
        <x:v>Sistema, módulos, menús, recursos, acciones</x:v>
      </x:c>
      <x:c r="D6" s="45" t="str">
        <x:v>Seeds y modelo auth</x:v>
      </x:c>
      <x:c r="E6" s="45" t="str"/>
      <x:c r="F6" s="49" t="str"/>
      <x:c r="G6" s="49" t="str"/>
      <x:c r="H6" s="45" t="str">
        <x:v>Revisión técnica</x:v>
      </x:c>
      <x:c r="I6" s="45" t="str">
        <x:v>Pendiente</x:v>
      </x:c>
      <x:c r="J6" s="45" t="str"/>
    </x:row>
    <x:row r="7" ht="15" hidden="0" customHeight="1">
      <x:c r="A7" s="45" t="str">
        <x:v>3. Parametrización</x:v>
      </x:c>
      <x:c r="B7" s="45" t="str">
        <x:v>Alinear global/tenant</x:v>
      </x:c>
      <x:c r="C7" s="45" t="str">
        <x:v>Catálogo, defaults, overrides, loader</x:v>
      </x:c>
      <x:c r="D7" s="45" t="str">
        <x:v>Modelo de parámetros</x:v>
      </x:c>
      <x:c r="E7" s="45" t="str"/>
      <x:c r="F7" s="49" t="str"/>
      <x:c r="G7" s="49" t="str"/>
      <x:c r="H7" s="45" t="str">
        <x:v>Unit + E2E</x:v>
      </x:c>
      <x:c r="I7" s="45" t="str">
        <x:v>Pendiente</x:v>
      </x:c>
      <x:c r="J7" s="45" t="str"/>
    </x:row>
    <x:row r="8" ht="15" hidden="0" customHeight="1">
      <x:c r="A8" s="45" t="str">
        <x:v>4. Auth Graph</x:v>
      </x:c>
      <x:c r="B8" s="45" t="str">
        <x:v>Cerrar contrato consumible</x:v>
      </x:c>
      <x:c r="C8" s="45" t="str">
        <x:v>JSON y API pública</x:v>
      </x:c>
      <x:c r="D8" s="45" t="str">
        <x:v>Profiles y permissions</x:v>
      </x:c>
      <x:c r="E8" s="45" t="str"/>
      <x:c r="F8" s="49" t="str"/>
      <x:c r="G8" s="49" t="str"/>
      <x:c r="H8" s="45" t="str">
        <x:v>Contract + E2E</x:v>
      </x:c>
      <x:c r="I8" s="45" t="str">
        <x:v>Pendiente</x:v>
      </x:c>
      <x:c r="J8" s="45" t="str"/>
    </x:row>
    <x:row r="9" ht="15" hidden="0" customHeight="1">
      <x:c r="A9" s="45" t="str">
        <x:v>5. Readiness</x:v>
      </x:c>
      <x:c r="B9" s="45" t="str">
        <x:v>Validar release con evidencia</x:v>
      </x:c>
      <x:c r="C9" s="45" t="str">
        <x:v>Scorecard y checklist</x:v>
      </x:c>
      <x:c r="D9" s="45" t="str">
        <x:v>Quality gates</x:v>
      </x:c>
      <x:c r="E9" s="45" t="str"/>
      <x:c r="F9" s="49" t="str"/>
      <x:c r="G9" s="49" t="str"/>
      <x:c r="H9" s="45" t="str">
        <x:v>Go/No-Go</x:v>
      </x:c>
      <x:c r="I9" s="45" t="str">
        <x:v>Pendiente</x:v>
      </x:c>
      <x:c r="J9" s="45" t="str"/>
    </x:row>
    <x:row r="10" ht="15" hidden="0" customHeight="1">
      <x:c r="A10" s="45"/>
      <x:c r="B10" s="45"/>
      <x:c r="C10" s="45"/>
      <x:c r="D10" s="45"/>
      <x:c r="E10" s="45"/>
      <x:c r="F10" s="49"/>
      <x:c r="G10" s="49"/>
      <x:c r="H10" s="45"/>
      <x:c r="I10" s="45"/>
      <x:c r="J10" s="45"/>
    </x:row>
    <x:row r="11" ht="15" hidden="0" customHeight="1">
      <x:c r="A11" s="45"/>
      <x:c r="B11" s="45"/>
      <x:c r="C11" s="45"/>
      <x:c r="D11" s="45"/>
      <x:c r="E11" s="45"/>
      <x:c r="F11" s="49"/>
      <x:c r="G11" s="49"/>
      <x:c r="H11" s="45"/>
      <x:c r="I11" s="45"/>
      <x:c r="J11" s="45"/>
    </x:row>
    <x:row r="12" ht="15" hidden="0" customHeight="1">
      <x:c r="A12" s="45"/>
      <x:c r="B12" s="45"/>
      <x:c r="C12" s="45"/>
      <x:c r="D12" s="45"/>
      <x:c r="E12" s="45"/>
      <x:c r="F12" s="49"/>
      <x:c r="G12" s="49"/>
      <x:c r="H12" s="45"/>
      <x:c r="I12" s="45"/>
      <x:c r="J12" s="45"/>
    </x:row>
    <x:row r="13" ht="15" hidden="0" customHeight="1">
      <x:c r="A13" s="45"/>
      <x:c r="B13" s="45"/>
      <x:c r="C13" s="45"/>
      <x:c r="D13" s="45"/>
      <x:c r="E13" s="45"/>
      <x:c r="F13" s="49"/>
      <x:c r="G13" s="49"/>
      <x:c r="H13" s="45"/>
      <x:c r="I13" s="45"/>
      <x:c r="J13" s="45"/>
    </x:row>
    <x:row r="14" ht="15" hidden="0" customHeight="1">
      <x:c r="A14" s="45"/>
      <x:c r="B14" s="45"/>
      <x:c r="C14" s="45"/>
      <x:c r="D14" s="45"/>
      <x:c r="E14" s="45"/>
      <x:c r="F14" s="49"/>
      <x:c r="G14" s="49"/>
      <x:c r="H14" s="45"/>
      <x:c r="I14" s="45"/>
      <x:c r="J14" s="45"/>
    </x:row>
    <x:row r="15" ht="15" hidden="0" customHeight="1">
      <x:c r="A15" s="45"/>
      <x:c r="B15" s="45"/>
      <x:c r="C15" s="45"/>
      <x:c r="D15" s="45"/>
      <x:c r="E15" s="45"/>
      <x:c r="F15" s="49"/>
      <x:c r="G15" s="49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9"/>
      <x:c r="G16" s="49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9"/>
      <x:c r="G17" s="49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9"/>
      <x:c r="G18" s="49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9"/>
      <x:c r="G19" s="49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9"/>
      <x:c r="G20" s="49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9"/>
      <x:c r="G21" s="49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9"/>
      <x:c r="G22" s="49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9"/>
      <x:c r="G23" s="49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9"/>
      <x:c r="G24" s="49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9"/>
      <x:c r="G25" s="49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9"/>
      <x:c r="G26" s="49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9"/>
      <x:c r="G27" s="49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9"/>
      <x:c r="G28" s="49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9"/>
      <x:c r="G29" s="49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9"/>
      <x:c r="G30" s="49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9"/>
      <x:c r="G31" s="49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9"/>
      <x:c r="G32" s="49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9"/>
      <x:c r="G33" s="49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9"/>
      <x:c r="G34" s="49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9"/>
      <x:c r="G35" s="49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9"/>
      <x:c r="G36" s="49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9"/>
      <x:c r="G37" s="49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9"/>
      <x:c r="G38" s="49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9"/>
      <x:c r="G39" s="49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9"/>
      <x:c r="G40" s="49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9"/>
      <x:c r="G41" s="49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9"/>
      <x:c r="G42" s="49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9"/>
      <x:c r="G43" s="49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9"/>
      <x:c r="G44" s="49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9"/>
      <x:c r="G45" s="49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9"/>
      <x:c r="G46" s="49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9"/>
      <x:c r="G47" s="49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9"/>
      <x:c r="G48" s="49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9"/>
      <x:c r="G49" s="49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9"/>
      <x:c r="G50" s="49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1">
    <x:dataValidation type="list" sqref="I5:I50">
      <x:formula1>"Pendiente,En curso,En riesgo,Bloqueado,Listo"</x:formula1>
    </x:dataValidation>
  </x:dataValidation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9.5600004196167" hidden="0" customWidth="1"/>
  </x:cols>
  <x:sheetData>
    <x:row r="1" ht="18" hidden="0" customHeight="1">
      <x:c r="A1" s="44" t="str">
        <x:v>RACI y responsables nominales por hito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Asignar personas específicas por fase/gate crítico.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Fase</x:v>
      </x:c>
      <x:c r="B4" s="47" t="str">
        <x:v>Hito / Gate</x:v>
      </x:c>
      <x:c r="C4" s="47" t="str">
        <x:v>Accountable nominal</x:v>
      </x:c>
      <x:c r="D4" s="47" t="str">
        <x:v>Responsible nominal</x:v>
      </x:c>
      <x:c r="E4" s="47" t="str">
        <x:v>Backup</x:v>
      </x:c>
      <x:c r="F4" s="47" t="str">
        <x:v>Consulted</x:v>
      </x:c>
      <x:c r="G4" s="47" t="str">
        <x:v>Informed</x:v>
      </x:c>
      <x:c r="H4" s="47" t="str">
        <x:v>Estado</x:v>
      </x:c>
      <x:c r="I4" s="47" t="str">
        <x:v>Comentario</x:v>
      </x:c>
      <x:c r="J4" s="45"/>
    </x:row>
    <x:row r="5" ht="15" hidden="0" customHeight="1">
      <x:c r="A5" s="45" t="str">
        <x:v>Definir</x:v>
      </x:c>
      <x:c r="B5" s="45" t="str">
        <x:v>PRD aprobado</x:v>
      </x:c>
      <x:c r="C5" s="45" t="str"/>
      <x:c r="D5" s="45" t="str"/>
      <x:c r="E5" s="45" t="str"/>
      <x:c r="F5" s="45" t="str">
        <x:v>Architect / QA</x:v>
      </x:c>
      <x:c r="G5" s="45" t="str">
        <x:v>Leadership</x:v>
      </x:c>
      <x:c r="H5" s="45" t="str">
        <x:v>Pendiente</x:v>
      </x:c>
      <x:c r="I5" s="45" t="str"/>
      <x:c r="J5" s="45"/>
    </x:row>
    <x:row r="6" ht="15" hidden="0" customHeight="1">
      <x:c r="A6" s="45" t="str">
        <x:v>Diseñar</x:v>
      </x:c>
      <x:c r="B6" s="45" t="str">
        <x:v>ADRs y Functional Stories aprobados</x:v>
      </x:c>
      <x:c r="C6" s="45" t="str"/>
      <x:c r="D6" s="45" t="str"/>
      <x:c r="E6" s="45" t="str"/>
      <x:c r="F6" s="45" t="str">
        <x:v>Tech Lead / QA</x:v>
      </x:c>
      <x:c r="G6" s="45" t="str">
        <x:v>Sponsor</x:v>
      </x:c>
      <x:c r="H6" s="45" t="str">
        <x:v>Pendiente</x:v>
      </x:c>
      <x:c r="I6" s="45" t="str"/>
      <x:c r="J6" s="45"/>
    </x:row>
    <x:row r="7" ht="15" hidden="0" customHeight="1">
      <x:c r="A7" s="45" t="str">
        <x:v>Construir</x:v>
      </x:c>
      <x:c r="B7" s="45" t="str">
        <x:v>Build exitoso y DoD completo</x:v>
      </x:c>
      <x:c r="C7" s="45" t="str"/>
      <x:c r="D7" s="45" t="str"/>
      <x:c r="E7" s="45" t="str"/>
      <x:c r="F7" s="45" t="str">
        <x:v>Architect / QA</x:v>
      </x:c>
      <x:c r="G7" s="45" t="str">
        <x:v>Product</x:v>
      </x:c>
      <x:c r="H7" s="45" t="str">
        <x:v>Pendiente</x:v>
      </x:c>
      <x:c r="I7" s="45" t="str"/>
      <x:c r="J7" s="45"/>
    </x:row>
    <x:row r="8" ht="15" hidden="0" customHeight="1">
      <x:c r="A8" s="45" t="str">
        <x:v>Validar</x:v>
      </x:c>
      <x:c r="B8" s="45" t="str">
        <x:v>Test Summary Report aprobado</x:v>
      </x:c>
      <x:c r="C8" s="45" t="str"/>
      <x:c r="D8" s="45" t="str"/>
      <x:c r="E8" s="45" t="str"/>
      <x:c r="F8" s="45" t="str">
        <x:v>Product / Tech Lead</x:v>
      </x:c>
      <x:c r="G8" s="45" t="str">
        <x:v>Sponsor</x:v>
      </x:c>
      <x:c r="H8" s="45" t="str">
        <x:v>Pendiente</x:v>
      </x:c>
      <x:c r="I8" s="45" t="str"/>
      <x:c r="J8" s="45"/>
    </x:row>
    <x:row r="9" ht="15" hidden="0" customHeight="1">
      <x:c r="A9" s="45" t="str">
        <x:v>Liberar</x:v>
      </x:c>
      <x:c r="B9" s="45" t="str">
        <x:v>Rollback y observabilidad validados</x:v>
      </x:c>
      <x:c r="C9" s="45" t="str"/>
      <x:c r="D9" s="45" t="str"/>
      <x:c r="E9" s="45" t="str"/>
      <x:c r="F9" s="45" t="str">
        <x:v>QA / Product</x:v>
      </x:c>
      <x:c r="G9" s="45" t="str">
        <x:v>Leadership</x:v>
      </x:c>
      <x:c r="H9" s="45" t="str">
        <x:v>Pendiente</x:v>
      </x:c>
      <x:c r="I9" s="45" t="str"/>
      <x:c r="J9" s="45"/>
    </x:row>
    <x:row r="10" ht="15" hidden="0" customHeight="1">
      <x:c r="A10" s="45" t="str">
        <x:v>Seguimiento</x:v>
      </x:c>
      <x:c r="B10" s="45" t="str">
        <x:v>Scorecard ejecutivo actualizado</x:v>
      </x:c>
      <x:c r="C10" s="45" t="str"/>
      <x:c r="D10" s="45" t="str"/>
      <x:c r="E10" s="45" t="str"/>
      <x:c r="F10" s="45" t="str">
        <x:v>All leads</x:v>
      </x:c>
      <x:c r="G10" s="45" t="str">
        <x:v>Executive Sponsor</x:v>
      </x:c>
      <x:c r="H10" s="45" t="str">
        <x:v>Pendiente</x:v>
      </x:c>
      <x:c r="I10" s="45" t="str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1">
    <x:dataValidation type="list" sqref="H5:H50">
      <x:formula1>"Pendiente,En curso,En riesgo,Bloqueado,Listo"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7" max="7" width="20" hidden="0" customWidth="1"/>
    <x:col min="8" max="8" width="20" hidden="0" customWidth="1"/>
    <x:col min="6" max="6" width="20" hidden="0" customWidth="1"/>
  </x:cols>
  <x:sheetData>
    <x:row r="1" ht="18" hidden="0" customHeight="1">
      <x:c r="A1" s="44" t="str">
        <x:v>Checklist y Scorecard ejecutivo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Seguimiento sintético para decidir avance, bloqueo o escalamiento.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Dimensión</x:v>
      </x:c>
      <x:c r="B4" s="47" t="str">
        <x:v>Estado</x:v>
      </x:c>
      <x:c r="C4" s="47" t="str">
        <x:v>Comentario</x:v>
      </x:c>
      <x:c r="D4" s="47" t="str">
        <x:v>Owner</x:v>
      </x:c>
      <x:c r="E4" s="47" t="str">
        <x:v>Evidencia</x:v>
      </x:c>
      <x:c r="F4" s="45"/>
      <x:c r="G4" s="47" t="str">
        <x:v>KPI</x:v>
      </x:c>
      <x:c r="H4" s="47" t="str">
        <x:v>Valor</x:v>
      </x:c>
      <x:c r="I4" s="45"/>
      <x:c r="J4" s="45"/>
    </x:row>
    <x:row r="5" ht="15" hidden="0" customHeight="1">
      <x:c r="A5" s="45" t="str">
        <x:v>SDLC fases</x:v>
      </x:c>
      <x:c r="B5" s="45" t="str">
        <x:v>Pendiente</x:v>
      </x:c>
      <x:c r="C5" s="45" t="str"/>
      <x:c r="D5" s="45" t="str"/>
      <x:c r="E5" s="45" t="str"/>
      <x:c r="F5" s="45"/>
      <x:c r="G5" s="45" t="str">
        <x:v>Items</x:v>
      </x:c>
      <x:c r="H5" s="45" t="n">
        <x:f>COUNTA(A5:A16)</x:f>
        <x:v>12</x:v>
      </x:c>
      <x:c r="I5" s="45"/>
      <x:c r="J5" s="45"/>
    </x:row>
    <x:row r="6" ht="15" hidden="0" customHeight="1">
      <x:c r="A6" s="45" t="str">
        <x:v>Artefactos clave</x:v>
      </x:c>
      <x:c r="B6" s="45" t="str">
        <x:v>Pendiente</x:v>
      </x:c>
      <x:c r="C6" s="45" t="str"/>
      <x:c r="D6" s="45" t="str"/>
      <x:c r="E6" s="45" t="str"/>
      <x:c r="F6" s="45"/>
      <x:c r="G6" s="45" t="str">
        <x:v>Listos</x:v>
      </x:c>
      <x:c r="H6" s="45" t="n">
        <x:f>COUNTIF(B5:B16,"Listo")</x:f>
        <x:v>0</x:v>
      </x:c>
      <x:c r="I6" s="45"/>
      <x:c r="J6" s="45"/>
    </x:row>
    <x:row r="7" ht="15" hidden="0" customHeight="1">
      <x:c r="A7" s="45" t="str">
        <x:v>RACI nominal</x:v>
      </x:c>
      <x:c r="B7" s="45" t="str">
        <x:v>Pendiente</x:v>
      </x:c>
      <x:c r="C7" s="45" t="str"/>
      <x:c r="D7" s="45" t="str"/>
      <x:c r="E7" s="45" t="str"/>
      <x:c r="F7" s="45"/>
      <x:c r="G7" s="45" t="str">
        <x:v>En riesgo</x:v>
      </x:c>
      <x:c r="H7" s="45" t="n">
        <x:f>COUNTIF(B5:B16,"En riesgo")</x:f>
        <x:v>0</x:v>
      </x:c>
      <x:c r="I7" s="45"/>
      <x:c r="J7" s="45"/>
    </x:row>
    <x:row r="8" ht="15" hidden="0" customHeight="1">
      <x:c r="A8" s="45" t="str">
        <x:v>GAPS críticos</x:v>
      </x:c>
      <x:c r="B8" s="45" t="str">
        <x:v>Pendiente</x:v>
      </x:c>
      <x:c r="C8" s="45" t="str"/>
      <x:c r="D8" s="45" t="str"/>
      <x:c r="E8" s="45" t="str"/>
      <x:c r="F8" s="45"/>
      <x:c r="G8" s="45" t="str">
        <x:v>Bloqueados</x:v>
      </x:c>
      <x:c r="H8" s="45" t="n">
        <x:f>COUNTIF(B5:B16,"Bloqueado")</x:f>
        <x:v>0</x:v>
      </x:c>
      <x:c r="I8" s="45"/>
      <x:c r="J8" s="45"/>
    </x:row>
    <x:row r="9" ht="15" hidden="0" customHeight="1">
      <x:c r="A9" s="45" t="str">
        <x:v>Multi-tenancy</x:v>
      </x:c>
      <x:c r="B9" s="45" t="str">
        <x:v>Pendiente</x:v>
      </x:c>
      <x:c r="C9" s="45" t="str"/>
      <x:c r="D9" s="45" t="str"/>
      <x:c r="E9" s="45" t="str"/>
      <x:c r="F9" s="45"/>
      <x:c r="G9" s="45" t="str">
        <x:v>Readiness</x:v>
      </x:c>
      <x:c r="H9" s="60" t="n">
        <x:f>IF(H5=0,0,H6/H5)</x:f>
        <x:v>0</x:v>
      </x:c>
      <x:c r="I9" s="45"/>
      <x:c r="J9" s="45"/>
    </x:row>
    <x:row r="10" ht="15" hidden="0" customHeight="1">
      <x:c r="A10" s="45" t="str">
        <x:v>Parametrización</x:v>
      </x:c>
      <x:c r="B10" s="45" t="str">
        <x:v>Pendiente</x:v>
      </x:c>
      <x:c r="C10" s="45" t="str"/>
      <x:c r="D10" s="45" t="str"/>
      <x:c r="E10" s="45" t="str"/>
      <x:c r="F10" s="45"/>
      <x:c r="G10" s="45"/>
      <x:c r="H10" s="45"/>
      <x:c r="I10" s="45"/>
      <x:c r="J10" s="45"/>
    </x:row>
    <x:row r="11" ht="15" hidden="0" customHeight="1">
      <x:c r="A11" s="45" t="str">
        <x:v>Auth Graph</x:v>
      </x:c>
      <x:c r="B11" s="45" t="str">
        <x:v>Pendiente</x:v>
      </x:c>
      <x:c r="C11" s="45" t="str"/>
      <x:c r="D11" s="45" t="str"/>
      <x:c r="E11" s="45" t="str"/>
      <x:c r="F11" s="45"/>
      <x:c r="G11" s="47" t="str">
        <x:v>Decisión ejecutiva</x:v>
      </x:c>
      <x:c r="H11" s="47" t="str"/>
      <x:c r="I11" s="45"/>
      <x:c r="J11" s="45"/>
    </x:row>
    <x:row r="12" ht="15" hidden="0" customHeight="1">
      <x:c r="A12" s="45" t="str">
        <x:v>UI/UX</x:v>
      </x:c>
      <x:c r="B12" s="45" t="str">
        <x:v>Pendiente</x:v>
      </x:c>
      <x:c r="C12" s="45" t="str"/>
      <x:c r="D12" s="45" t="str"/>
      <x:c r="E12" s="45" t="str"/>
      <x:c r="F12" s="45"/>
      <x:c r="G12" s="45" t="str">
        <x:v>Decision</x:v>
      </x:c>
      <x:c r="H12" s="45" t="str">
        <x:v>Pendiente</x:v>
      </x:c>
      <x:c r="I12" s="45"/>
      <x:c r="J12" s="45"/>
    </x:row>
    <x:row r="13" ht="15" hidden="0" customHeight="1">
      <x:c r="A13" s="45" t="str">
        <x:v>Pruebas unitarias y E2E</x:v>
      </x:c>
      <x:c r="B13" s="45" t="str">
        <x:v>Pendiente</x:v>
      </x:c>
      <x:c r="C13" s="45" t="str"/>
      <x:c r="D13" s="45" t="str"/>
      <x:c r="E13" s="45" t="str"/>
      <x:c r="F13" s="45"/>
      <x:c r="G13" s="45" t="str">
        <x:v>Aprobado por</x:v>
      </x:c>
      <x:c r="H13" s="45" t="str"/>
      <x:c r="I13" s="45"/>
      <x:c r="J13" s="45"/>
    </x:row>
    <x:row r="14" ht="15" hidden="0" customHeight="1">
      <x:c r="A14" s="45" t="str">
        <x:v>Documentación EN/ES</x:v>
      </x:c>
      <x:c r="B14" s="45" t="str">
        <x:v>Pendiente</x:v>
      </x:c>
      <x:c r="C14" s="45" t="str"/>
      <x:c r="D14" s="45" t="str"/>
      <x:c r="E14" s="45" t="str"/>
      <x:c r="F14" s="45"/>
      <x:c r="G14" s="45" t="str">
        <x:v>Próxima revisión</x:v>
      </x:c>
      <x:c r="H14" s="45" t="str"/>
      <x:c r="I14" s="45"/>
      <x:c r="J14" s="45"/>
    </x:row>
    <x:row r="15" ht="15" hidden="0" customHeight="1">
      <x:c r="A15" s="45" t="str">
        <x:v>Auditoría / Seguridad</x:v>
      </x:c>
      <x:c r="B15" s="45" t="str">
        <x:v>Pendiente</x:v>
      </x:c>
      <x:c r="C15" s="45" t="str"/>
      <x:c r="D15" s="45" t="str"/>
      <x:c r="E15" s="45" t="str"/>
      <x:c r="F15" s="45"/>
      <x:c r="G15" s="45" t="str">
        <x:v>Notas</x:v>
      </x:c>
      <x:c r="H15" s="45" t="str"/>
      <x:c r="I15" s="45"/>
      <x:c r="J15" s="45"/>
    </x:row>
    <x:row r="16" ht="15" hidden="0" customHeight="1">
      <x:c r="A16" s="45" t="str">
        <x:v>Producción / Observabilidad</x:v>
      </x:c>
      <x:c r="B16" s="45" t="str">
        <x:v>Pendiente</x:v>
      </x:c>
      <x:c r="C16" s="45" t="str"/>
      <x:c r="D16" s="45" t="str"/>
      <x:c r="E16" s="45" t="str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dataValidations count="2">
    <x:dataValidation type="list" sqref="B5:B16">
      <x:formula1>"Pendiente,En curso,En riesgo,Bloqueado,Listo,N/A"</x:formula1>
    </x:dataValidation>
    <x:dataValidation type="list" sqref="H12">
      <x:formula1>"Proceed,Conditional Proceed,Block,Escalate,Pendiente"</x:formula1>
    </x:dataValidation>
  </x:dataValidations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</x:cols>
  <x:sheetData>
    <x:row r="1" ht="18" hidden="0" customHeight="1">
      <x:c r="A1" s="44" t="str">
        <x:v>Referencias documentales</x:v>
      </x:c>
      <x:c r="B1" s="45"/>
      <x:c r="C1" s="45"/>
      <x:c r="D1" s="45"/>
      <x:c r="E1" s="45"/>
      <x:c r="F1" s="45"/>
      <x:c r="G1" s="45"/>
      <x:c r="H1" s="45"/>
      <x:c r="I1" s="45"/>
      <x:c r="J1" s="45"/>
    </x:row>
    <x:row r="2" ht="15" hidden="0" customHeight="1">
      <x:c r="A2" s="46" t="str">
        <x:v>Links para navegar a documentación Evolith y UMS.</x:v>
      </x:c>
      <x:c r="B2" s="45"/>
      <x:c r="C2" s="45"/>
      <x:c r="D2" s="45"/>
      <x:c r="E2" s="45"/>
      <x:c r="F2" s="45"/>
      <x:c r="G2" s="45"/>
      <x:c r="H2" s="45"/>
      <x:c r="I2" s="45"/>
      <x:c r="J2" s="45"/>
    </x:row>
    <x:row r="3">
      <x:c r="A3" s="45"/>
      <x:c r="B3" s="45"/>
      <x:c r="C3" s="45"/>
      <x:c r="D3" s="45"/>
      <x:c r="E3" s="45"/>
      <x:c r="F3" s="45"/>
      <x:c r="G3" s="45"/>
      <x:c r="H3" s="45"/>
      <x:c r="I3" s="45"/>
      <x:c r="J3" s="45"/>
    </x:row>
    <x:row r="4" ht="15" hidden="0" customHeight="1">
      <x:c r="A4" s="47" t="str">
        <x:v>Tema</x:v>
      </x:c>
      <x:c r="B4" s="47" t="str">
        <x:v>Documento / ruta</x:v>
      </x:c>
      <x:c r="C4" s="47" t="str">
        <x:v>Propósito</x:v>
      </x:c>
      <x:c r="D4" s="47" t="str">
        <x:v>Notas</x:v>
      </x:c>
      <x:c r="E4" s="45"/>
      <x:c r="F4" s="45"/>
      <x:c r="G4" s="45"/>
      <x:c r="H4" s="45"/>
      <x:c r="I4" s="45"/>
      <x:c r="J4" s="45"/>
    </x:row>
    <x:row r="5" ht="15" hidden="0" customHeight="1">
      <x:c r="A5" s="45" t="str">
        <x:v>One-pager visual</x:v>
      </x:c>
      <x:c r="B5" s="45" t="str">
        <x:v>reference/governance/standards/communication/visuals/v01-executive-one-pager.es.md</x:v>
      </x:c>
      <x:c r="C5" s="45" t="str">
        <x:v>Base narrativa visual</x:v>
      </x:c>
      <x:c r="D5" s="45" t="str">
        <x:v>Referencia rectora</x:v>
      </x:c>
      <x:c r="E5" s="45"/>
      <x:c r="F5" s="45"/>
      <x:c r="G5" s="45"/>
      <x:c r="H5" s="45"/>
      <x:c r="I5" s="45"/>
      <x:c r="J5" s="45"/>
    </x:row>
    <x:row r="6" ht="15" hidden="0" customHeight="1">
      <x:c r="A6" s="45" t="str">
        <x:v>SDLC Governance</x:v>
      </x:c>
      <x:c r="B6" s="45" t="str">
        <x:v>reference/governance/sdlc/README.es.md</x:v>
      </x:c>
      <x:c r="C6" s="45" t="str">
        <x:v>Fases, gates, artefactos y descargas</x:v>
      </x:c>
      <x:c r="D6" s="45" t="str"/>
      <x:c r="E6" s="45"/>
      <x:c r="F6" s="45"/>
      <x:c r="G6" s="45"/>
      <x:c r="H6" s="45"/>
      <x:c r="I6" s="45"/>
      <x:c r="J6" s="45"/>
    </x:row>
    <x:row r="7" ht="15" hidden="0" customHeight="1">
      <x:c r="A7" s="45" t="str">
        <x:v>Templates</x:v>
      </x:c>
      <x:c r="B7" s="45" t="str">
        <x:v>reference/governance/sdlc/04-artifact-templates/README.es.md</x:v>
      </x:c>
      <x:c r="C7" s="45" t="str">
        <x:v>PRD, ADR, FS, TS, TSR, Release Notes, Scorecard</x:v>
      </x:c>
      <x:c r="D7" s="45" t="str"/>
      <x:c r="E7" s="45"/>
      <x:c r="F7" s="45"/>
      <x:c r="G7" s="45"/>
      <x:c r="H7" s="45"/>
      <x:c r="I7" s="45"/>
      <x:c r="J7" s="45"/>
    </x:row>
    <x:row r="8" ht="15" hidden="0" customHeight="1">
      <x:c r="A8" s="45" t="str">
        <x:v>Evolutionary documentation review</x:v>
      </x:c>
      <x:c r="B8" s="45" t="str">
        <x:v>reference/governance/sdlc/03-documentation/evolutionary-documentation-review-standard.es.md</x:v>
      </x:c>
      <x:c r="C8" s="45" t="str">
        <x:v>Regla de revisión documental en cambios fuertes</x:v>
      </x:c>
      <x:c r="D8" s="45" t="str"/>
      <x:c r="E8" s="45"/>
      <x:c r="F8" s="45"/>
      <x:c r="G8" s="45"/>
      <x:c r="H8" s="45"/>
      <x:c r="I8" s="45"/>
      <x:c r="J8" s="45"/>
    </x:row>
    <x:row r="9" ht="15" hidden="0" customHeight="1">
      <x:c r="A9" s="45" t="str">
        <x:v>UMS Architecture</x:v>
      </x:c>
      <x:c r="B9" s="45" t="str">
        <x:v>https://github.com/beyondnetcode/ums/blob/main/docs/architecture/index.md</x:v>
      </x:c>
      <x:c r="C9" s="45" t="str">
        <x:v>Portal de arquitectura aplicado</x:v>
      </x:c>
      <x:c r="D9" s="45" t="str"/>
      <x:c r="E9" s="45"/>
      <x:c r="F9" s="45"/>
      <x:c r="G9" s="45"/>
      <x:c r="H9" s="45"/>
      <x:c r="I9" s="45"/>
      <x:c r="J9" s="45"/>
    </x:row>
    <x:row r="10" ht="15" hidden="0" customHeight="1">
      <x:c r="A10" s="45" t="str">
        <x:v>UMS README</x:v>
      </x:c>
      <x:c r="B10" s="45" t="str">
        <x:v>https://github.com/beyondnetcode/ums/blob/main/README.md</x:v>
      </x:c>
      <x:c r="C10" s="45" t="str">
        <x:v>Aplicación empresarial real de referencia</x:v>
      </x:c>
      <x:c r="D10" s="45" t="str"/>
      <x:c r="E10" s="45"/>
      <x:c r="F10" s="45"/>
      <x:c r="G10" s="45"/>
      <x:c r="H10" s="45"/>
      <x:c r="I10" s="45"/>
      <x:c r="J10" s="45"/>
    </x:row>
    <x:row r="11">
      <x:c r="A11" s="45"/>
      <x:c r="B11" s="45"/>
      <x:c r="C11" s="45"/>
      <x:c r="D11" s="45"/>
      <x:c r="E11" s="45"/>
      <x:c r="F11" s="45"/>
      <x:c r="G11" s="45"/>
      <x:c r="H11" s="45"/>
      <x:c r="I11" s="45"/>
      <x:c r="J11" s="45"/>
    </x:row>
    <x:row r="12">
      <x:c r="A12" s="45"/>
      <x:c r="B12" s="45"/>
      <x:c r="C12" s="45"/>
      <x:c r="D12" s="45"/>
      <x:c r="E12" s="45"/>
      <x:c r="F12" s="45"/>
      <x:c r="G12" s="45"/>
      <x:c r="H12" s="45"/>
      <x:c r="I12" s="45"/>
      <x:c r="J12" s="45"/>
    </x:row>
    <x:row r="13">
      <x:c r="A13" s="45"/>
      <x:c r="B13" s="45"/>
      <x:c r="C13" s="45"/>
      <x:c r="D13" s="45"/>
      <x:c r="E13" s="45"/>
      <x:c r="F13" s="45"/>
      <x:c r="G13" s="45"/>
      <x:c r="H13" s="45"/>
      <x:c r="I13" s="45"/>
      <x:c r="J13" s="45"/>
    </x:row>
    <x:row r="14">
      <x:c r="A14" s="45"/>
      <x:c r="B14" s="45"/>
      <x:c r="C14" s="45"/>
      <x:c r="D14" s="45"/>
      <x:c r="E14" s="45"/>
      <x:c r="F14" s="45"/>
      <x:c r="G14" s="45"/>
      <x:c r="H14" s="45"/>
      <x:c r="I14" s="45"/>
      <x:c r="J14" s="45"/>
    </x:row>
    <x:row r="15">
      <x:c r="A15" s="45"/>
      <x:c r="B15" s="45"/>
      <x:c r="C15" s="45"/>
      <x:c r="D15" s="45"/>
      <x:c r="E15" s="45"/>
      <x:c r="F15" s="45"/>
      <x:c r="G15" s="45"/>
      <x:c r="H15" s="45"/>
      <x:c r="I15" s="45"/>
      <x:c r="J15" s="45"/>
    </x:row>
    <x:row r="16">
      <x:c r="A16" s="45"/>
      <x:c r="B16" s="45"/>
      <x:c r="C16" s="45"/>
      <x:c r="D16" s="45"/>
      <x:c r="E16" s="45"/>
      <x:c r="F16" s="45"/>
      <x:c r="G16" s="45"/>
      <x:c r="H16" s="45"/>
      <x:c r="I16" s="45"/>
      <x:c r="J16" s="45"/>
    </x:row>
    <x:row r="17">
      <x:c r="A17" s="45"/>
      <x:c r="B17" s="45"/>
      <x:c r="C17" s="45"/>
      <x:c r="D17" s="45"/>
      <x:c r="E17" s="45"/>
      <x:c r="F17" s="45"/>
      <x:c r="G17" s="45"/>
      <x:c r="H17" s="45"/>
      <x:c r="I17" s="45"/>
      <x:c r="J17" s="45"/>
    </x:row>
    <x:row r="18">
      <x:c r="A18" s="45"/>
      <x:c r="B18" s="45"/>
      <x:c r="C18" s="45"/>
      <x:c r="D18" s="45"/>
      <x:c r="E18" s="45"/>
      <x:c r="F18" s="45"/>
      <x:c r="G18" s="45"/>
      <x:c r="H18" s="45"/>
      <x:c r="I18" s="45"/>
      <x:c r="J18" s="45"/>
    </x:row>
    <x:row r="19">
      <x:c r="A19" s="45"/>
      <x:c r="B19" s="45"/>
      <x:c r="C19" s="45"/>
      <x:c r="D19" s="45"/>
      <x:c r="E19" s="45"/>
      <x:c r="F19" s="45"/>
      <x:c r="G19" s="45"/>
      <x:c r="H19" s="45"/>
      <x:c r="I19" s="45"/>
      <x:c r="J19" s="45"/>
    </x:row>
    <x:row r="20">
      <x:c r="A20" s="45"/>
      <x:c r="B20" s="45"/>
      <x:c r="C20" s="45"/>
      <x:c r="D20" s="45"/>
      <x:c r="E20" s="45"/>
      <x:c r="F20" s="45"/>
      <x:c r="G20" s="45"/>
      <x:c r="H20" s="45"/>
      <x:c r="I20" s="45"/>
      <x:c r="J20" s="45"/>
    </x:row>
    <x:row r="21">
      <x:c r="A21" s="45"/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>
      <x:c r="A22" s="45"/>
      <x:c r="B22" s="45"/>
      <x:c r="C22" s="45"/>
      <x:c r="D22" s="45"/>
      <x:c r="E22" s="45"/>
      <x:c r="F22" s="45"/>
      <x:c r="G22" s="45"/>
      <x:c r="H22" s="45"/>
      <x:c r="I22" s="45"/>
      <x:c r="J22" s="45"/>
    </x:row>
    <x:row r="23">
      <x:c r="A23" s="45"/>
      <x:c r="B23" s="45"/>
      <x:c r="C23" s="45"/>
      <x:c r="D23" s="45"/>
      <x:c r="E23" s="45"/>
      <x:c r="F23" s="45"/>
      <x:c r="G23" s="45"/>
      <x:c r="H23" s="45"/>
      <x:c r="I23" s="45"/>
      <x:c r="J23" s="45"/>
    </x:row>
    <x:row r="24">
      <x:c r="A24" s="45"/>
      <x:c r="B24" s="45"/>
      <x:c r="C24" s="45"/>
      <x:c r="D24" s="45"/>
      <x:c r="E24" s="45"/>
      <x:c r="F24" s="45"/>
      <x:c r="G24" s="45"/>
      <x:c r="H24" s="45"/>
      <x:c r="I24" s="45"/>
      <x:c r="J24" s="45"/>
    </x:row>
    <x:row r="25">
      <x:c r="A25" s="45"/>
      <x:c r="B25" s="45"/>
      <x:c r="C25" s="45"/>
      <x:c r="D25" s="45"/>
      <x:c r="E25" s="45"/>
      <x:c r="F25" s="45"/>
      <x:c r="G25" s="45"/>
      <x:c r="H25" s="45"/>
      <x:c r="I25" s="45"/>
      <x:c r="J25" s="45"/>
    </x:row>
    <x:row r="26">
      <x:c r="A26" s="45"/>
      <x:c r="B26" s="45"/>
      <x:c r="C26" s="45"/>
      <x:c r="D26" s="45"/>
      <x:c r="E26" s="45"/>
      <x:c r="F26" s="45"/>
      <x:c r="G26" s="45"/>
      <x:c r="H26" s="45"/>
      <x:c r="I26" s="45"/>
      <x:c r="J26" s="45"/>
    </x:row>
    <x:row r="27">
      <x:c r="A27" s="45"/>
      <x:c r="B27" s="45"/>
      <x:c r="C27" s="45"/>
      <x:c r="D27" s="45"/>
      <x:c r="E27" s="45"/>
      <x:c r="F27" s="45"/>
      <x:c r="G27" s="45"/>
      <x:c r="H27" s="45"/>
      <x:c r="I27" s="45"/>
      <x:c r="J27" s="45"/>
    </x:row>
    <x:row r="28">
      <x:c r="A28" s="45"/>
      <x:c r="B28" s="45"/>
      <x:c r="C28" s="45"/>
      <x:c r="D28" s="45"/>
      <x:c r="E28" s="45"/>
      <x:c r="F28" s="45"/>
      <x:c r="G28" s="45"/>
      <x:c r="H28" s="45"/>
      <x:c r="I28" s="45"/>
      <x:c r="J28" s="45"/>
    </x:row>
    <x:row r="29">
      <x:c r="A29" s="45"/>
      <x:c r="B29" s="45"/>
      <x:c r="C29" s="45"/>
      <x:c r="D29" s="45"/>
      <x:c r="E29" s="45"/>
      <x:c r="F29" s="45"/>
      <x:c r="G29" s="45"/>
      <x:c r="H29" s="45"/>
      <x:c r="I29" s="45"/>
      <x:c r="J29" s="45"/>
    </x:row>
    <x:row r="30">
      <x:c r="A30" s="45"/>
      <x:c r="B30" s="45"/>
      <x:c r="C30" s="45"/>
      <x:c r="D30" s="45"/>
      <x:c r="E30" s="45"/>
      <x:c r="F30" s="45"/>
      <x:c r="G30" s="45"/>
      <x:c r="H30" s="45"/>
      <x:c r="I30" s="45"/>
      <x:c r="J30" s="45"/>
    </x:row>
    <x:row r="31">
      <x:c r="A31" s="45"/>
      <x:c r="B31" s="45"/>
      <x:c r="C31" s="45"/>
      <x:c r="D31" s="45"/>
      <x:c r="E31" s="45"/>
      <x:c r="F31" s="45"/>
      <x:c r="G31" s="45"/>
      <x:c r="H31" s="45"/>
      <x:c r="I31" s="45"/>
      <x:c r="J31" s="45"/>
    </x:row>
    <x:row r="32">
      <x:c r="A32" s="45"/>
      <x:c r="B32" s="45"/>
      <x:c r="C32" s="45"/>
      <x:c r="D32" s="45"/>
      <x:c r="E32" s="45"/>
      <x:c r="F32" s="45"/>
      <x:c r="G32" s="45"/>
      <x:c r="H32" s="45"/>
      <x:c r="I32" s="45"/>
      <x:c r="J32" s="45"/>
    </x:row>
    <x:row r="33">
      <x:c r="A33" s="45"/>
      <x:c r="B33" s="45"/>
      <x:c r="C33" s="45"/>
      <x:c r="D33" s="45"/>
      <x:c r="E33" s="45"/>
      <x:c r="F33" s="45"/>
      <x:c r="G33" s="45"/>
      <x:c r="H33" s="45"/>
      <x:c r="I33" s="45"/>
      <x:c r="J33" s="45"/>
    </x:row>
    <x:row r="34">
      <x:c r="A34" s="45"/>
      <x:c r="B34" s="45"/>
      <x:c r="C34" s="45"/>
      <x:c r="D34" s="45"/>
      <x:c r="E34" s="45"/>
      <x:c r="F34" s="45"/>
      <x:c r="G34" s="45"/>
      <x:c r="H34" s="45"/>
      <x:c r="I34" s="45"/>
      <x:c r="J34" s="45"/>
    </x:row>
    <x:row r="35">
      <x:c r="A35" s="45"/>
      <x:c r="B35" s="45"/>
      <x:c r="C35" s="45"/>
      <x:c r="D35" s="45"/>
      <x:c r="E35" s="45"/>
      <x:c r="F35" s="45"/>
      <x:c r="G35" s="45"/>
      <x:c r="H35" s="45"/>
      <x:c r="I35" s="45"/>
      <x:c r="J35" s="45"/>
    </x:row>
    <x:row r="36">
      <x:c r="A36" s="45"/>
      <x:c r="B36" s="45"/>
      <x:c r="C36" s="45"/>
      <x:c r="D36" s="45"/>
      <x:c r="E36" s="45"/>
      <x:c r="F36" s="45"/>
      <x:c r="G36" s="45"/>
      <x:c r="H36" s="45"/>
      <x:c r="I36" s="45"/>
      <x:c r="J36" s="45"/>
    </x:row>
    <x:row r="37">
      <x:c r="A37" s="45"/>
      <x:c r="B37" s="45"/>
      <x:c r="C37" s="45"/>
      <x:c r="D37" s="45"/>
      <x:c r="E37" s="45"/>
      <x:c r="F37" s="45"/>
      <x:c r="G37" s="45"/>
      <x:c r="H37" s="45"/>
      <x:c r="I37" s="45"/>
      <x:c r="J37" s="45"/>
    </x:row>
    <x:row r="38">
      <x:c r="A38" s="45"/>
      <x:c r="B38" s="45"/>
      <x:c r="C38" s="45"/>
      <x:c r="D38" s="45"/>
      <x:c r="E38" s="45"/>
      <x:c r="F38" s="45"/>
      <x:c r="G38" s="45"/>
      <x:c r="H38" s="45"/>
      <x:c r="I38" s="45"/>
      <x:c r="J38" s="45"/>
    </x:row>
    <x:row r="39">
      <x:c r="A39" s="45"/>
      <x:c r="B39" s="45"/>
      <x:c r="C39" s="45"/>
      <x:c r="D39" s="45"/>
      <x:c r="E39" s="45"/>
      <x:c r="F39" s="45"/>
      <x:c r="G39" s="45"/>
      <x:c r="H39" s="45"/>
      <x:c r="I39" s="45"/>
      <x:c r="J39" s="45"/>
    </x:row>
    <x:row r="40">
      <x:c r="A40" s="45"/>
      <x:c r="B40" s="45"/>
      <x:c r="C40" s="45"/>
      <x:c r="D40" s="45"/>
      <x:c r="E40" s="45"/>
      <x:c r="F40" s="45"/>
      <x:c r="G40" s="45"/>
      <x:c r="H40" s="45"/>
      <x:c r="I40" s="45"/>
      <x:c r="J40" s="45"/>
    </x:row>
    <x:row r="41">
      <x:c r="A41" s="45"/>
      <x:c r="B41" s="45"/>
      <x:c r="C41" s="45"/>
      <x:c r="D41" s="45"/>
      <x:c r="E41" s="45"/>
      <x:c r="F41" s="45"/>
      <x:c r="G41" s="45"/>
      <x:c r="H41" s="45"/>
      <x:c r="I41" s="45"/>
      <x:c r="J41" s="45"/>
    </x:row>
    <x:row r="42">
      <x:c r="A42" s="45"/>
      <x:c r="B42" s="45"/>
      <x:c r="C42" s="45"/>
      <x:c r="D42" s="45"/>
      <x:c r="E42" s="45"/>
      <x:c r="F42" s="45"/>
      <x:c r="G42" s="45"/>
      <x:c r="H42" s="45"/>
      <x:c r="I42" s="45"/>
      <x:c r="J42" s="45"/>
    </x:row>
    <x:row r="43">
      <x:c r="A43" s="45"/>
      <x:c r="B43" s="45"/>
      <x:c r="C43" s="45"/>
      <x:c r="D43" s="45"/>
      <x:c r="E43" s="45"/>
      <x:c r="F43" s="45"/>
      <x:c r="G43" s="45"/>
      <x:c r="H43" s="45"/>
      <x:c r="I43" s="45"/>
      <x:c r="J43" s="45"/>
    </x:row>
    <x:row r="44">
      <x:c r="A44" s="45"/>
      <x:c r="B44" s="45"/>
      <x:c r="C44" s="45"/>
      <x:c r="D44" s="45"/>
      <x:c r="E44" s="45"/>
      <x:c r="F44" s="45"/>
      <x:c r="G44" s="45"/>
      <x:c r="H44" s="45"/>
      <x:c r="I44" s="45"/>
      <x:c r="J44" s="45"/>
    </x:row>
    <x:row r="45">
      <x:c r="A45" s="45"/>
      <x:c r="B45" s="45"/>
      <x:c r="C45" s="45"/>
      <x:c r="D45" s="45"/>
      <x:c r="E45" s="45"/>
      <x:c r="F45" s="45"/>
      <x:c r="G45" s="45"/>
      <x:c r="H45" s="45"/>
      <x:c r="I45" s="45"/>
      <x:c r="J45" s="45"/>
    </x:row>
    <x:row r="46">
      <x:c r="A46" s="45"/>
      <x:c r="B46" s="45"/>
      <x:c r="C46" s="45"/>
      <x:c r="D46" s="45"/>
      <x:c r="E46" s="45"/>
      <x:c r="F46" s="45"/>
      <x:c r="G46" s="45"/>
      <x:c r="H46" s="45"/>
      <x:c r="I46" s="45"/>
      <x:c r="J46" s="45"/>
    </x:row>
    <x:row r="47">
      <x:c r="A47" s="45"/>
      <x:c r="B47" s="45"/>
      <x:c r="C47" s="45"/>
      <x:c r="D47" s="45"/>
      <x:c r="E47" s="45"/>
      <x:c r="F47" s="45"/>
      <x:c r="G47" s="45"/>
      <x:c r="H47" s="45"/>
      <x:c r="I47" s="45"/>
      <x:c r="J47" s="45"/>
    </x:row>
    <x:row r="48">
      <x:c r="A48" s="45"/>
      <x:c r="B48" s="45"/>
      <x:c r="C48" s="45"/>
      <x:c r="D48" s="45"/>
      <x:c r="E48" s="45"/>
      <x:c r="F48" s="45"/>
      <x:c r="G48" s="45"/>
      <x:c r="H48" s="45"/>
      <x:c r="I48" s="45"/>
      <x:c r="J48" s="45"/>
    </x:row>
    <x:row r="49">
      <x:c r="A49" s="45"/>
      <x:c r="B49" s="45"/>
      <x:c r="C49" s="45"/>
      <x:c r="D49" s="45"/>
      <x:c r="E49" s="45"/>
      <x:c r="F49" s="45"/>
      <x:c r="G49" s="45"/>
      <x:c r="H49" s="45"/>
      <x:c r="I49" s="45"/>
      <x:c r="J49" s="45"/>
    </x:row>
    <x:row r="50">
      <x:c r="A50" s="45"/>
      <x:c r="B50" s="45"/>
      <x:c r="C50" s="45"/>
      <x:c r="D50" s="45"/>
      <x:c r="E50" s="45"/>
      <x:c r="F50" s="45"/>
      <x:c r="G50" s="45"/>
      <x:c r="H50" s="45"/>
      <x:c r="I50" s="45"/>
      <x:c r="J50" s="45"/>
    </x:row>
    <x:row r="51">
      <x:c r="A51" s="45"/>
      <x:c r="B51" s="45"/>
      <x:c r="C51" s="45"/>
      <x:c r="D51" s="45"/>
      <x:c r="E51" s="45"/>
      <x:c r="F51" s="45"/>
      <x:c r="G51" s="45"/>
      <x:c r="H51" s="45"/>
      <x:c r="I51" s="45"/>
      <x:c r="J51" s="45"/>
    </x:row>
    <x:row r="52">
      <x:c r="A52" s="45"/>
      <x:c r="B52" s="45"/>
      <x:c r="C52" s="45"/>
      <x:c r="D52" s="45"/>
      <x:c r="E52" s="45"/>
      <x:c r="F52" s="45"/>
      <x:c r="G52" s="45"/>
      <x:c r="H52" s="45"/>
      <x:c r="I52" s="45"/>
      <x:c r="J52" s="45"/>
    </x:row>
    <x:row r="53">
      <x:c r="A53" s="45"/>
      <x:c r="B53" s="45"/>
      <x:c r="C53" s="45"/>
      <x:c r="D53" s="45"/>
      <x:c r="E53" s="45"/>
      <x:c r="F53" s="45"/>
      <x:c r="G53" s="45"/>
      <x:c r="H53" s="45"/>
      <x:c r="I53" s="45"/>
      <x:c r="J53" s="45"/>
    </x:row>
    <x:row r="54">
      <x:c r="A54" s="45"/>
      <x:c r="B54" s="45"/>
      <x:c r="C54" s="45"/>
      <x:c r="D54" s="45"/>
      <x:c r="E54" s="45"/>
      <x:c r="F54" s="45"/>
      <x:c r="G54" s="45"/>
      <x:c r="H54" s="45"/>
      <x:c r="I54" s="45"/>
      <x:c r="J54" s="45"/>
    </x:row>
    <x:row r="55">
      <x:c r="A55" s="45"/>
      <x:c r="B55" s="45"/>
      <x:c r="C55" s="45"/>
      <x:c r="D55" s="45"/>
      <x:c r="E55" s="45"/>
      <x:c r="F55" s="45"/>
      <x:c r="G55" s="45"/>
      <x:c r="H55" s="45"/>
      <x:c r="I55" s="45"/>
      <x:c r="J55" s="45"/>
    </x:row>
    <x:row r="56">
      <x:c r="A56" s="45"/>
      <x:c r="B56" s="45"/>
      <x:c r="C56" s="45"/>
      <x:c r="D56" s="45"/>
      <x:c r="E56" s="45"/>
      <x:c r="F56" s="45"/>
      <x:c r="G56" s="45"/>
      <x:c r="H56" s="45"/>
      <x:c r="I56" s="45"/>
      <x:c r="J56" s="45"/>
    </x:row>
    <x:row r="57">
      <x:c r="A57" s="45"/>
      <x:c r="B57" s="45"/>
      <x:c r="C57" s="45"/>
      <x:c r="D57" s="45"/>
      <x:c r="E57" s="45"/>
      <x:c r="F57" s="45"/>
      <x:c r="G57" s="45"/>
      <x:c r="H57" s="45"/>
      <x:c r="I57" s="45"/>
      <x:c r="J57" s="45"/>
    </x:row>
    <x:row r="58">
      <x:c r="A58" s="45"/>
      <x:c r="B58" s="45"/>
      <x:c r="C58" s="45"/>
      <x:c r="D58" s="45"/>
      <x:c r="E58" s="45"/>
      <x:c r="F58" s="45"/>
      <x:c r="G58" s="45"/>
      <x:c r="H58" s="45"/>
      <x:c r="I58" s="45"/>
      <x:c r="J58" s="45"/>
    </x:row>
    <x:row r="59">
      <x:c r="A59" s="45"/>
      <x:c r="B59" s="45"/>
      <x:c r="C59" s="45"/>
      <x:c r="D59" s="45"/>
      <x:c r="E59" s="45"/>
      <x:c r="F59" s="45"/>
      <x:c r="G59" s="45"/>
      <x:c r="H59" s="45"/>
      <x:c r="I59" s="45"/>
      <x:c r="J59" s="45"/>
    </x:row>
    <x:row r="60">
      <x:c r="A60" s="45"/>
      <x:c r="B60" s="45"/>
      <x:c r="C60" s="45"/>
      <x:c r="D60" s="45"/>
      <x:c r="E60" s="45"/>
      <x:c r="F60" s="45"/>
      <x:c r="G60" s="45"/>
      <x:c r="H60" s="45"/>
      <x:c r="I60" s="45"/>
      <x:c r="J60" s="45"/>
    </x:row>
  </x:sheetData>
  <x:mergeCells>
    <x:mergeCell ref="A1:H1"/>
    <x:mergeCell ref="A2:H2"/>
  </x:mergeCells>
  <x:pageMargins left="0.7" right="0.7" top="0.75" bottom="0.75" header="0.3" footer="0.3"/>
</x:worksheet>
</file>